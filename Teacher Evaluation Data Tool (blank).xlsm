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117" codeName="{8C4F1C90-05EB-6A55-5F09-09C24B55AC0B}"/>
  <workbookPr showInkAnnotation="0" codeName="ThisWorkbook" hidePivotFieldList="1" autoCompressPictures="0"/>
  <bookViews>
    <workbookView xWindow="2700" yWindow="2300" windowWidth="25360" windowHeight="14600" tabRatio="829"/>
  </bookViews>
  <sheets>
    <sheet name="Home" sheetId="6" r:id="rId1"/>
    <sheet name="Staff" sheetId="1" state="hidden" r:id="rId2"/>
    <sheet name="Initial Conferences" sheetId="5" state="hidden" r:id="rId3"/>
    <sheet name="Artifacts" sheetId="8" state="hidden" r:id="rId4"/>
    <sheet name="Formals" sheetId="3" state="hidden" r:id="rId5"/>
    <sheet name="Informals" sheetId="7" state="hidden" r:id="rId6"/>
    <sheet name="School Options" sheetId="9" state="hidden" r:id="rId7"/>
    <sheet name="Settings" sheetId="2" state="hidden" r:id="rId8"/>
    <sheet name="Temp" sheetId="10" state="hidden" r:id="rId9"/>
    <sheet name="Change Log" sheetId="11" state="hidden" r:id="rId10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3" i="6" l="1"/>
  <c r="H23" i="6"/>
  <c r="D16" i="6"/>
  <c r="H16" i="6"/>
  <c r="D9" i="6"/>
  <c r="H9" i="6"/>
  <c r="F21" i="2"/>
  <c r="F11" i="2"/>
</calcChain>
</file>

<file path=xl/sharedStrings.xml><?xml version="1.0" encoding="utf-8"?>
<sst xmlns="http://schemas.openxmlformats.org/spreadsheetml/2006/main" count="304" uniqueCount="187">
  <si>
    <t>First Name</t>
  </si>
  <si>
    <t>Last Name</t>
  </si>
  <si>
    <t>Other</t>
  </si>
  <si>
    <t>Grades</t>
  </si>
  <si>
    <t>ESL</t>
  </si>
  <si>
    <t>Subjects</t>
  </si>
  <si>
    <t>CTT</t>
  </si>
  <si>
    <t>ID</t>
  </si>
  <si>
    <t>Subject</t>
  </si>
  <si>
    <t>Option 1</t>
  </si>
  <si>
    <t>Option 2</t>
  </si>
  <si>
    <t>Formal</t>
  </si>
  <si>
    <t>Informal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</si>
  <si>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</si>
  <si>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</si>
  <si>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</si>
  <si>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</si>
  <si>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</si>
  <si>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</si>
  <si>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</si>
  <si>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</si>
  <si>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</si>
  <si>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</si>
  <si>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</si>
  <si>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3a</t>
  </si>
  <si>
    <t>3b</t>
  </si>
  <si>
    <t>3c</t>
  </si>
  <si>
    <t>3d</t>
  </si>
  <si>
    <t>3e</t>
  </si>
  <si>
    <t>4a</t>
  </si>
  <si>
    <t>4b</t>
  </si>
  <si>
    <t>4c</t>
  </si>
  <si>
    <t>4f</t>
  </si>
  <si>
    <t>4e</t>
  </si>
  <si>
    <t>Form</t>
  </si>
  <si>
    <t>C: Post Observation</t>
  </si>
  <si>
    <t>A: Initial Planning/Pre-Observation</t>
  </si>
  <si>
    <t>Number of artifacts</t>
  </si>
  <si>
    <t>Observation Types</t>
  </si>
  <si>
    <t>Forms</t>
  </si>
  <si>
    <t>B: Formal Observation</t>
  </si>
  <si>
    <t>1D: Informal Observation (Option 1)</t>
  </si>
  <si>
    <t>2D: Informal Observation (Option 2)</t>
  </si>
  <si>
    <t>E: End of Year Teacher Artifacts</t>
  </si>
  <si>
    <t>Observation Options</t>
  </si>
  <si>
    <t>Component</t>
  </si>
  <si>
    <t>Weight</t>
  </si>
  <si>
    <t>OPTION 1</t>
  </si>
  <si>
    <t>OPTION 2</t>
  </si>
  <si>
    <t>Maximum Artifacts:</t>
  </si>
  <si>
    <t>4d</t>
  </si>
  <si>
    <t>Record Created</t>
  </si>
  <si>
    <t>SPED</t>
  </si>
  <si>
    <t>Initial Conference Date</t>
  </si>
  <si>
    <t>Video Option</t>
  </si>
  <si>
    <t>Notes</t>
  </si>
  <si>
    <t>Must be completed by:</t>
  </si>
  <si>
    <t>Days Remaining:</t>
  </si>
  <si>
    <t>Full Name</t>
  </si>
  <si>
    <t>Video Options for Option 1</t>
  </si>
  <si>
    <t>Both Formal &amp; Informal Observations</t>
  </si>
  <si>
    <t>Formal Observation Only</t>
  </si>
  <si>
    <t>Informal Observations Only</t>
  </si>
  <si>
    <t>Do Not Consent to Use of Video</t>
  </si>
  <si>
    <t>Video Options for Option 2</t>
  </si>
  <si>
    <t>Evaluation Option</t>
  </si>
  <si>
    <t>Last day for initial observations:</t>
  </si>
  <si>
    <t>Initial Conference Held?</t>
  </si>
  <si>
    <t>Artifact Forms for Option 1</t>
  </si>
  <si>
    <t>Artifact Forms for Option 2</t>
  </si>
  <si>
    <t>Artifact Form</t>
  </si>
  <si>
    <t>1a rationale</t>
  </si>
  <si>
    <t>1b rationale</t>
  </si>
  <si>
    <t>1c rationale</t>
  </si>
  <si>
    <t>1d rationale</t>
  </si>
  <si>
    <t>1e rationale</t>
  </si>
  <si>
    <t>1f rationale</t>
  </si>
  <si>
    <t>4a rationale</t>
  </si>
  <si>
    <t>4b rationale</t>
  </si>
  <si>
    <t>4c rationale</t>
  </si>
  <si>
    <t>4d rationale</t>
  </si>
  <si>
    <t>4e rationale</t>
  </si>
  <si>
    <t>4f rationale</t>
  </si>
  <si>
    <t>Date submitted</t>
  </si>
  <si>
    <t>Date of Formal Observation</t>
  </si>
  <si>
    <t>2a rationale</t>
  </si>
  <si>
    <t>2b rationale</t>
  </si>
  <si>
    <t>2c rationale</t>
  </si>
  <si>
    <t>2d rationale</t>
  </si>
  <si>
    <t>2e rationale</t>
  </si>
  <si>
    <t>3a rationale</t>
  </si>
  <si>
    <t>3b rationale</t>
  </si>
  <si>
    <t>3c rationale</t>
  </si>
  <si>
    <t>3d rationale</t>
  </si>
  <si>
    <t>3e rationale</t>
  </si>
  <si>
    <t>HEDI Score</t>
  </si>
  <si>
    <t>Date of Pre-Observation</t>
  </si>
  <si>
    <t>Last day for observations:</t>
  </si>
  <si>
    <t>Last day for artifact submission:</t>
  </si>
  <si>
    <t>Must be submitted by:</t>
  </si>
  <si>
    <t>(first Friday in June)</t>
  </si>
  <si>
    <t>(second Friday in April)</t>
  </si>
  <si>
    <t>INITIAL CONFERENCES</t>
  </si>
  <si>
    <t>Date of Informal Observation</t>
  </si>
  <si>
    <t>Components</t>
  </si>
  <si>
    <t>Points</t>
  </si>
  <si>
    <t>Form B: Domain 1</t>
  </si>
  <si>
    <t>Form B: Domain 4</t>
  </si>
  <si>
    <t>Form 1D: Domain 2</t>
  </si>
  <si>
    <t>Form B: Domain 3</t>
  </si>
  <si>
    <t>Form B: Domain 2</t>
  </si>
  <si>
    <t>Form 1D: Domain 3</t>
  </si>
  <si>
    <t>Total</t>
  </si>
  <si>
    <t>Form 2D: Domain 2</t>
  </si>
  <si>
    <t>Form 2D: Domain 3</t>
  </si>
  <si>
    <t>Form 2D: Domain 1</t>
  </si>
  <si>
    <t>Form 2D: Domain 4</t>
  </si>
  <si>
    <t>Forms A, C &amp; E: Domain 1</t>
  </si>
  <si>
    <t>Forms A, C &amp; E: Domain 4</t>
  </si>
  <si>
    <t>2013-2014</t>
  </si>
  <si>
    <t>Supervisors</t>
  </si>
  <si>
    <t>Supervisor</t>
  </si>
  <si>
    <t>Days between pre-observation and formal observation:</t>
  </si>
  <si>
    <t>Days between formal observation and post-observation:</t>
  </si>
  <si>
    <t>Option 1: Minimum number for formals:</t>
  </si>
  <si>
    <t>Option 1: Minimum number for informals:</t>
  </si>
  <si>
    <t>Options 2: Minimum number of informals:</t>
  </si>
  <si>
    <t>Conference ID</t>
  </si>
  <si>
    <t>Artifact ID</t>
  </si>
  <si>
    <t>Formal ID</t>
  </si>
  <si>
    <t>Informal ID</t>
  </si>
  <si>
    <t>Change</t>
  </si>
  <si>
    <t>Date</t>
  </si>
  <si>
    <t>Time</t>
  </si>
  <si>
    <t>Change ID</t>
  </si>
  <si>
    <t>Feedback Supervisor</t>
  </si>
  <si>
    <t>Date Obs Report Given</t>
  </si>
  <si>
    <t>Feedback Types</t>
  </si>
  <si>
    <t>Verbal</t>
  </si>
  <si>
    <t>Written</t>
  </si>
  <si>
    <t>Email</t>
  </si>
  <si>
    <t>FORMALS:</t>
  </si>
  <si>
    <t>INFORMALS:</t>
  </si>
  <si>
    <t>(Option 1 only)</t>
  </si>
  <si>
    <t>Due Date of Obs Report</t>
  </si>
  <si>
    <t>Due Date of Post-Obs Conf</t>
  </si>
  <si>
    <t>Date of Post-Obs Conf</t>
  </si>
  <si>
    <t>Post-Obs Conf Supervisor</t>
  </si>
  <si>
    <t>Days for Feedback on Informal Observations:</t>
  </si>
  <si>
    <t>Due Date for Feedback</t>
  </si>
  <si>
    <t>Date Feedback Given</t>
  </si>
  <si>
    <t>Type of Feedback</t>
  </si>
  <si>
    <t>Days for Observation Report after ALL Observations:</t>
  </si>
  <si>
    <t>Other (specify in notes)</t>
  </si>
  <si>
    <t>Formal Obs Due Date</t>
  </si>
  <si>
    <t>Pre-Obs Conf Supervisor</t>
  </si>
  <si>
    <t>Last Day for End-of-Year Conferences:</t>
  </si>
  <si>
    <t>Description</t>
  </si>
  <si>
    <t>ARTIFACTS (Form 1)</t>
  </si>
  <si>
    <t>OBSERVATIONS (Form 2)</t>
  </si>
  <si>
    <t>Artifact from Pre-Observation Conference</t>
  </si>
  <si>
    <t>Artifact from Post-Observation Conference</t>
  </si>
  <si>
    <t>Artifact from Initial Planning Conference</t>
  </si>
  <si>
    <t>Evaluator Request for Additional Artifact</t>
  </si>
  <si>
    <t>Artifact prior to or during Summative End of Year Conference</t>
  </si>
  <si>
    <t>EVALUATION TOOL SETUP</t>
  </si>
  <si>
    <t>Special Education</t>
  </si>
  <si>
    <t>ELA</t>
  </si>
  <si>
    <t>Social Studies</t>
  </si>
  <si>
    <t>Mathematics</t>
  </si>
  <si>
    <t>Self Contained</t>
  </si>
  <si>
    <t>Self-Contained</t>
  </si>
  <si>
    <t>Science</t>
  </si>
  <si>
    <t>Foreign Language</t>
  </si>
  <si>
    <t>Physical Education</t>
  </si>
  <si>
    <t>CTE</t>
  </si>
  <si>
    <t>Library</t>
  </si>
  <si>
    <t>Arts &amp; Music</t>
  </si>
  <si>
    <t>Computers &amp; Tech</t>
  </si>
  <si>
    <t>Business</t>
  </si>
  <si>
    <t>CFN 603 Teacher Evaluation</t>
  </si>
  <si>
    <t>Data Management</t>
  </si>
  <si>
    <t>System</t>
  </si>
  <si>
    <t>School Name</t>
  </si>
  <si>
    <t>Principal</t>
  </si>
  <si>
    <t>PERFORMANCE &amp; EVIDENCE REPORTS</t>
  </si>
  <si>
    <t>Database initiated.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</si>
</sst>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Lucida Grande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Lucida Grande"/>
    </font>
    <font>
      <sz val="11"/>
      <color rgb="FF000000"/>
      <name val="Calibri"/>
      <family val="2"/>
    </font>
    <font>
      <sz val="10"/>
      <color rgb="FF993300"/>
      <name val="Calibri"/>
      <family val="2"/>
    </font>
    <font>
      <sz val="10.5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FF0000"/>
      <name val="Lucida Grande"/>
    </font>
    <font>
      <sz val="10"/>
      <color theme="1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sz val="14"/>
      <color theme="1" tint="0.1499984740745262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1" tint="0.34998626667073579"/>
      <name val="Lucida Grande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right"/>
    </xf>
    <xf numFmtId="0" fontId="1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0" xfId="0" applyBorder="1"/>
    <xf numFmtId="0" fontId="5" fillId="3" borderId="0" xfId="0" applyFont="1" applyFill="1" applyBorder="1" applyAlignment="1"/>
    <xf numFmtId="0" fontId="1" fillId="0" borderId="0" xfId="0" applyFont="1" applyBorder="1"/>
    <xf numFmtId="0" fontId="5" fillId="3" borderId="5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6" xfId="0" applyFont="1" applyFill="1" applyBorder="1" applyAlignment="1"/>
    <xf numFmtId="0" fontId="5" fillId="3" borderId="7" xfId="0" applyFont="1" applyFill="1" applyBorder="1" applyAlignment="1"/>
    <xf numFmtId="0" fontId="5" fillId="3" borderId="8" xfId="0" applyFont="1" applyFill="1" applyBorder="1" applyAlignment="1"/>
    <xf numFmtId="0" fontId="6" fillId="3" borderId="7" xfId="0" applyFont="1" applyFill="1" applyBorder="1" applyAlignment="1"/>
    <xf numFmtId="0" fontId="6" fillId="3" borderId="0" xfId="0" applyFont="1" applyFill="1" applyBorder="1" applyAlignment="1"/>
    <xf numFmtId="0" fontId="6" fillId="3" borderId="8" xfId="0" applyFont="1" applyFill="1" applyBorder="1" applyAlignme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Font="1" applyBorder="1" applyAlignment="1">
      <alignment horizontal="center"/>
    </xf>
    <xf numFmtId="0" fontId="1" fillId="0" borderId="0" xfId="0" applyFont="1"/>
    <xf numFmtId="14" fontId="0" fillId="0" borderId="0" xfId="0" applyNumberFormat="1"/>
    <xf numFmtId="19" fontId="0" fillId="0" borderId="0" xfId="0" applyNumberFormat="1"/>
    <xf numFmtId="0" fontId="4" fillId="0" borderId="0" xfId="0" applyFont="1" applyFill="1" applyBorder="1" applyAlignment="1"/>
    <xf numFmtId="16" fontId="0" fillId="0" borderId="0" xfId="0" applyNumberFormat="1" applyAlignment="1">
      <alignment horizontal="left" vertical="center"/>
    </xf>
    <xf numFmtId="0" fontId="13" fillId="0" borderId="7" xfId="0" applyFont="1" applyFill="1" applyBorder="1" applyAlignment="1"/>
    <xf numFmtId="0" fontId="4" fillId="5" borderId="2" xfId="0" applyFont="1" applyFill="1" applyBorder="1" applyAlignment="1"/>
    <xf numFmtId="0" fontId="4" fillId="5" borderId="3" xfId="0" applyFont="1" applyFill="1" applyBorder="1" applyAlignment="1"/>
    <xf numFmtId="0" fontId="1" fillId="5" borderId="10" xfId="0" applyFont="1" applyFill="1" applyBorder="1"/>
    <xf numFmtId="0" fontId="0" fillId="5" borderId="10" xfId="0" applyFill="1" applyBorder="1" applyAlignment="1">
      <alignment horizontal="right"/>
    </xf>
    <xf numFmtId="164" fontId="1" fillId="5" borderId="10" xfId="0" applyNumberFormat="1" applyFont="1" applyFill="1" applyBorder="1" applyAlignment="1">
      <alignment horizontal="left"/>
    </xf>
    <xf numFmtId="164" fontId="1" fillId="5" borderId="11" xfId="0" applyNumberFormat="1" applyFont="1" applyFill="1" applyBorder="1" applyAlignment="1">
      <alignment horizontal="left"/>
    </xf>
    <xf numFmtId="0" fontId="4" fillId="6" borderId="5" xfId="0" applyFont="1" applyFill="1" applyBorder="1" applyAlignment="1"/>
    <xf numFmtId="0" fontId="4" fillId="6" borderId="4" xfId="0" applyFont="1" applyFill="1" applyBorder="1" applyAlignment="1"/>
    <xf numFmtId="0" fontId="4" fillId="6" borderId="6" xfId="0" applyFont="1" applyFill="1" applyBorder="1" applyAlignment="1"/>
    <xf numFmtId="0" fontId="4" fillId="6" borderId="0" xfId="0" applyFont="1" applyFill="1" applyBorder="1" applyAlignment="1"/>
    <xf numFmtId="0" fontId="4" fillId="6" borderId="8" xfId="0" applyFont="1" applyFill="1" applyBorder="1" applyAlignment="1"/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8" fillId="6" borderId="9" xfId="0" applyFont="1" applyFill="1" applyBorder="1" applyAlignment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4" fillId="7" borderId="5" xfId="0" applyFont="1" applyFill="1" applyBorder="1" applyAlignment="1"/>
    <xf numFmtId="0" fontId="4" fillId="7" borderId="4" xfId="0" applyFont="1" applyFill="1" applyBorder="1" applyAlignment="1"/>
    <xf numFmtId="0" fontId="4" fillId="7" borderId="7" xfId="0" applyFont="1" applyFill="1" applyBorder="1" applyAlignment="1"/>
    <xf numFmtId="0" fontId="4" fillId="7" borderId="0" xfId="0" applyFont="1" applyFill="1" applyBorder="1" applyAlignment="1"/>
    <xf numFmtId="0" fontId="4" fillId="7" borderId="9" xfId="0" applyFont="1" applyFill="1" applyBorder="1" applyAlignment="1"/>
    <xf numFmtId="0" fontId="4" fillId="7" borderId="10" xfId="0" applyFont="1" applyFill="1" applyBorder="1" applyAlignment="1"/>
    <xf numFmtId="0" fontId="22" fillId="0" borderId="0" xfId="0" applyFont="1" applyAlignment="1">
      <alignment horizontal="left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right"/>
    </xf>
    <xf numFmtId="0" fontId="1" fillId="9" borderId="2" xfId="0" applyFont="1" applyFill="1" applyBorder="1" applyAlignment="1">
      <alignment horizontal="right"/>
    </xf>
    <xf numFmtId="164" fontId="1" fillId="9" borderId="2" xfId="0" applyNumberFormat="1" applyFont="1" applyFill="1" applyBorder="1" applyAlignment="1">
      <alignment horizontal="left"/>
    </xf>
    <xf numFmtId="0" fontId="7" fillId="5" borderId="9" xfId="0" applyFont="1" applyFill="1" applyBorder="1" applyAlignment="1">
      <alignment horizontal="right"/>
    </xf>
    <xf numFmtId="0" fontId="7" fillId="5" borderId="10" xfId="0" applyFont="1" applyFill="1" applyBorder="1" applyAlignment="1">
      <alignment horizontal="right"/>
    </xf>
    <xf numFmtId="164" fontId="7" fillId="5" borderId="2" xfId="0" applyNumberFormat="1" applyFont="1" applyFill="1" applyBorder="1" applyAlignment="1">
      <alignment horizontal="left"/>
    </xf>
    <xf numFmtId="0" fontId="4" fillId="6" borderId="7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vertical="top"/>
    </xf>
    <xf numFmtId="0" fontId="21" fillId="6" borderId="10" xfId="0" applyFont="1" applyFill="1" applyBorder="1" applyAlignment="1">
      <alignment horizontal="center" vertical="top"/>
    </xf>
    <xf numFmtId="1" fontId="1" fillId="9" borderId="2" xfId="0" applyNumberFormat="1" applyFont="1" applyFill="1" applyBorder="1" applyAlignment="1">
      <alignment horizontal="left"/>
    </xf>
    <xf numFmtId="1" fontId="1" fillId="9" borderId="3" xfId="0" applyNumberFormat="1" applyFont="1" applyFill="1" applyBorder="1" applyAlignment="1">
      <alignment horizontal="left"/>
    </xf>
    <xf numFmtId="1" fontId="7" fillId="5" borderId="2" xfId="0" applyNumberFormat="1" applyFont="1" applyFill="1" applyBorder="1" applyAlignment="1">
      <alignment horizontal="left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4" fillId="3" borderId="9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164" fontId="1" fillId="10" borderId="2" xfId="0" applyNumberFormat="1" applyFont="1" applyFill="1" applyBorder="1" applyAlignment="1">
      <alignment horizontal="left"/>
    </xf>
    <xf numFmtId="0" fontId="1" fillId="10" borderId="2" xfId="0" applyFont="1" applyFill="1" applyBorder="1" applyAlignment="1">
      <alignment horizontal="right"/>
    </xf>
    <xf numFmtId="0" fontId="1" fillId="10" borderId="1" xfId="0" applyFont="1" applyFill="1" applyBorder="1" applyAlignment="1">
      <alignment horizontal="right"/>
    </xf>
    <xf numFmtId="1" fontId="1" fillId="10" borderId="2" xfId="0" applyNumberFormat="1" applyFont="1" applyFill="1" applyBorder="1" applyAlignment="1">
      <alignment horizontal="left"/>
    </xf>
    <xf numFmtId="1" fontId="1" fillId="10" borderId="3" xfId="0" applyNumberFormat="1" applyFont="1" applyFill="1" applyBorder="1" applyAlignment="1">
      <alignment horizontal="left"/>
    </xf>
    <xf numFmtId="0" fontId="17" fillId="3" borderId="7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8" fillId="3" borderId="8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0" xfId="0" applyFont="1" applyFill="1" applyBorder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1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E1FFE5"/>
      <color rgb="FFFFCCCC"/>
      <color rgb="FFFF9999"/>
      <color rgb="FFCCCCFF"/>
      <color rgb="FF99FF99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3</xdr:row>
          <xdr:rowOff>12700</xdr:rowOff>
        </xdr:from>
        <xdr:to>
          <xdr:col>6</xdr:col>
          <xdr:colOff>850900</xdr:colOff>
          <xdr:row>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Teachers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10</xdr:row>
          <xdr:rowOff>12700</xdr:rowOff>
        </xdr:from>
        <xdr:to>
          <xdr:col>2</xdr:col>
          <xdr:colOff>698500</xdr:colOff>
          <xdr:row>13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Initial Conference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10</xdr:row>
          <xdr:rowOff>12700</xdr:rowOff>
        </xdr:from>
        <xdr:to>
          <xdr:col>6</xdr:col>
          <xdr:colOff>850900</xdr:colOff>
          <xdr:row>13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Initial Conferences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10</xdr:row>
          <xdr:rowOff>12700</xdr:rowOff>
        </xdr:from>
        <xdr:to>
          <xdr:col>4</xdr:col>
          <xdr:colOff>774700</xdr:colOff>
          <xdr:row>13</xdr:row>
          <xdr:rowOff>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 Conference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17</xdr:row>
          <xdr:rowOff>12700</xdr:rowOff>
        </xdr:from>
        <xdr:to>
          <xdr:col>2</xdr:col>
          <xdr:colOff>698500</xdr:colOff>
          <xdr:row>19</xdr:row>
          <xdr:rowOff>190500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Artifact Evidence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17</xdr:row>
          <xdr:rowOff>12700</xdr:rowOff>
        </xdr:from>
        <xdr:to>
          <xdr:col>6</xdr:col>
          <xdr:colOff>850900</xdr:colOff>
          <xdr:row>19</xdr:row>
          <xdr:rowOff>190500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Artifacts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17</xdr:row>
          <xdr:rowOff>12700</xdr:rowOff>
        </xdr:from>
        <xdr:to>
          <xdr:col>4</xdr:col>
          <xdr:colOff>774700</xdr:colOff>
          <xdr:row>19</xdr:row>
          <xdr:rowOff>190500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Artifact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24</xdr:row>
          <xdr:rowOff>101600</xdr:rowOff>
        </xdr:from>
        <xdr:to>
          <xdr:col>7</xdr:col>
          <xdr:colOff>0</xdr:colOff>
          <xdr:row>26</xdr:row>
          <xdr:rowOff>165100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Formal Observation Evidence (Form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28</xdr:row>
          <xdr:rowOff>114300</xdr:rowOff>
        </xdr:from>
        <xdr:to>
          <xdr:col>4</xdr:col>
          <xdr:colOff>787400</xdr:colOff>
          <xdr:row>30</xdr:row>
          <xdr:rowOff>101600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Informal Observation Evidence (Form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127000</xdr:colOff>
          <xdr:row>24</xdr:row>
          <xdr:rowOff>127000</xdr:rowOff>
        </xdr:from>
        <xdr:to>
          <xdr:col>14</xdr:col>
          <xdr:colOff>838200</xdr:colOff>
          <xdr:row>26</xdr:row>
          <xdr:rowOff>165100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Observation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34</xdr:row>
          <xdr:rowOff>12700</xdr:rowOff>
        </xdr:from>
        <xdr:to>
          <xdr:col>2</xdr:col>
          <xdr:colOff>698500</xdr:colOff>
          <xdr:row>37</xdr:row>
          <xdr:rowOff>12700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Performance by Teacher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34</xdr:row>
          <xdr:rowOff>12700</xdr:rowOff>
        </xdr:from>
        <xdr:to>
          <xdr:col>4</xdr:col>
          <xdr:colOff>787400</xdr:colOff>
          <xdr:row>37</xdr:row>
          <xdr:rowOff>12700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Performance by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34</xdr:row>
          <xdr:rowOff>12700</xdr:rowOff>
        </xdr:from>
        <xdr:to>
          <xdr:col>7</xdr:col>
          <xdr:colOff>25400</xdr:colOff>
          <xdr:row>37</xdr:row>
          <xdr:rowOff>12700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Evidence Totals by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88900</xdr:colOff>
          <xdr:row>28</xdr:row>
          <xdr:rowOff>101600</xdr:rowOff>
        </xdr:from>
        <xdr:to>
          <xdr:col>11</xdr:col>
          <xdr:colOff>749300</xdr:colOff>
          <xdr:row>30</xdr:row>
          <xdr:rowOff>101600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Observations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24</xdr:row>
          <xdr:rowOff>127000</xdr:rowOff>
        </xdr:from>
        <xdr:to>
          <xdr:col>11</xdr:col>
          <xdr:colOff>749300</xdr:colOff>
          <xdr:row>26</xdr:row>
          <xdr:rowOff>165100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Post-Obs. Conferences &amp; Observation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584200</xdr:colOff>
          <xdr:row>13</xdr:row>
          <xdr:rowOff>101600</xdr:rowOff>
        </xdr:from>
        <xdr:to>
          <xdr:col>14</xdr:col>
          <xdr:colOff>355600</xdr:colOff>
          <xdr:row>16</xdr:row>
          <xdr:rowOff>88900</xdr:rowOff>
        </xdr:to>
        <xdr:sp macro="" textlink="">
          <xdr:nvSpPr>
            <xdr:cNvPr id="7199" name="Button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At-A-Glance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</xdr:colOff>
          <xdr:row>17</xdr:row>
          <xdr:rowOff>88900</xdr:rowOff>
        </xdr:from>
        <xdr:to>
          <xdr:col>14</xdr:col>
          <xdr:colOff>63500</xdr:colOff>
          <xdr:row>19</xdr:row>
          <xdr:rowOff>101600</xdr:rowOff>
        </xdr:to>
        <xdr:sp macro="" textlink="">
          <xdr:nvSpPr>
            <xdr:cNvPr id="7200" name="Button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Contact CFN 603 for Support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</xdr:row>
          <xdr:rowOff>0</xdr:rowOff>
        </xdr:from>
        <xdr:to>
          <xdr:col>2</xdr:col>
          <xdr:colOff>698500</xdr:colOff>
          <xdr:row>6</xdr:row>
          <xdr:rowOff>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School Subjects &amp; Administrators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3</xdr:row>
          <xdr:rowOff>12700</xdr:rowOff>
        </xdr:from>
        <xdr:to>
          <xdr:col>4</xdr:col>
          <xdr:colOff>774700</xdr:colOff>
          <xdr:row>6</xdr:row>
          <xdr:rowOff>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Teachers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28</xdr:row>
          <xdr:rowOff>114300</xdr:rowOff>
        </xdr:from>
        <xdr:to>
          <xdr:col>7</xdr:col>
          <xdr:colOff>0</xdr:colOff>
          <xdr:row>30</xdr:row>
          <xdr:rowOff>101600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Feedback &amp; Observation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24</xdr:row>
          <xdr:rowOff>101600</xdr:rowOff>
        </xdr:from>
        <xdr:to>
          <xdr:col>4</xdr:col>
          <xdr:colOff>787400</xdr:colOff>
          <xdr:row>26</xdr:row>
          <xdr:rowOff>152400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Pre-Observation Conference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127000</xdr:colOff>
          <xdr:row>28</xdr:row>
          <xdr:rowOff>101600</xdr:rowOff>
        </xdr:from>
        <xdr:to>
          <xdr:col>14</xdr:col>
          <xdr:colOff>825500</xdr:colOff>
          <xdr:row>30</xdr:row>
          <xdr:rowOff>101600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Supervisor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P39"/>
  <sheetViews>
    <sheetView tabSelected="1" workbookViewId="0">
      <selection activeCell="J5" sqref="J5"/>
    </sheetView>
  </sheetViews>
  <sheetFormatPr baseColWidth="10" defaultColWidth="11" defaultRowHeight="15" x14ac:dyDescent="0"/>
  <cols>
    <col min="1" max="1" width="5.6640625" customWidth="1"/>
    <col min="2" max="2" width="11" customWidth="1"/>
    <col min="7" max="7" width="11.33203125" customWidth="1"/>
    <col min="8" max="9" width="1.33203125" customWidth="1"/>
    <col min="10" max="10" width="7.83203125" customWidth="1"/>
    <col min="11" max="11" width="3.6640625" customWidth="1"/>
    <col min="12" max="12" width="11.1640625" customWidth="1"/>
    <col min="13" max="13" width="1.1640625" customWidth="1"/>
    <col min="15" max="15" width="12.6640625" customWidth="1"/>
    <col min="16" max="16" width="9.83203125" customWidth="1"/>
  </cols>
  <sheetData>
    <row r="1" spans="1:16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18" customHeight="1">
      <c r="A2" s="81" t="s">
        <v>165</v>
      </c>
      <c r="B2" s="82"/>
      <c r="C2" s="82"/>
      <c r="D2" s="82"/>
      <c r="E2" s="82"/>
      <c r="F2" s="82"/>
      <c r="G2" s="82"/>
      <c r="H2" s="82"/>
      <c r="I2" s="82"/>
      <c r="J2" s="83"/>
      <c r="K2" s="10"/>
      <c r="L2" s="13"/>
      <c r="M2" s="14"/>
      <c r="N2" s="14"/>
      <c r="O2" s="15"/>
    </row>
    <row r="3" spans="1:16" ht="9.7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6"/>
      <c r="M3" s="11"/>
      <c r="N3" s="11"/>
      <c r="O3" s="17"/>
    </row>
    <row r="4" spans="1:16" ht="15.7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5" t="s">
        <v>180</v>
      </c>
      <c r="M4" s="106"/>
      <c r="N4" s="106"/>
      <c r="O4" s="107"/>
    </row>
    <row r="5" spans="1:16" ht="15.7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5" t="s">
        <v>181</v>
      </c>
      <c r="M5" s="106"/>
      <c r="N5" s="106"/>
      <c r="O5" s="107"/>
    </row>
    <row r="6" spans="1:16" ht="15.7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5" t="s">
        <v>182</v>
      </c>
      <c r="M6" s="106"/>
      <c r="N6" s="106"/>
      <c r="O6" s="107"/>
    </row>
    <row r="7" spans="1:16" ht="9.75" customHeigh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8"/>
      <c r="M7" s="19"/>
      <c r="N7" s="19"/>
      <c r="O7" s="20"/>
    </row>
    <row r="8" spans="1:16" ht="18" customHeight="1">
      <c r="A8" s="84" t="s">
        <v>102</v>
      </c>
      <c r="B8" s="85"/>
      <c r="C8" s="85"/>
      <c r="D8" s="85"/>
      <c r="E8" s="85"/>
      <c r="F8" s="85"/>
      <c r="G8" s="85"/>
      <c r="H8" s="85"/>
      <c r="I8" s="85"/>
      <c r="J8" s="86"/>
      <c r="K8" s="10"/>
      <c r="L8" s="108" t="s">
        <v>183</v>
      </c>
      <c r="M8" s="109"/>
      <c r="N8" s="109"/>
      <c r="O8" s="110"/>
    </row>
    <row r="9" spans="1:16" ht="15.75" customHeight="1">
      <c r="A9" s="93" t="s">
        <v>56</v>
      </c>
      <c r="B9" s="92"/>
      <c r="C9" s="92"/>
      <c r="D9" s="91">
        <f>Settings!B5</f>
        <v>41572</v>
      </c>
      <c r="E9" s="91"/>
      <c r="F9" s="92" t="s">
        <v>57</v>
      </c>
      <c r="G9" s="92"/>
      <c r="H9" s="94">
        <f ca="1">IF(ISERROR(DATEDIF(TODAY(),D9,"d")),0,DATEDIF(TODAY(),D9,"d"))</f>
        <v>0</v>
      </c>
      <c r="I9" s="94"/>
      <c r="J9" s="95"/>
      <c r="K9" s="12"/>
      <c r="L9" s="111"/>
      <c r="M9" s="112"/>
      <c r="N9" s="112"/>
      <c r="O9" s="113"/>
    </row>
    <row r="10" spans="1:16" ht="9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6"/>
      <c r="M10" s="11"/>
      <c r="N10" s="11"/>
      <c r="O10" s="17"/>
    </row>
    <row r="11" spans="1:16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96" t="s">
        <v>184</v>
      </c>
      <c r="M11" s="97"/>
      <c r="N11" s="97"/>
      <c r="O11" s="98"/>
    </row>
    <row r="12" spans="1:16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99"/>
      <c r="M12" s="100"/>
      <c r="N12" s="100"/>
      <c r="O12" s="101"/>
    </row>
    <row r="13" spans="1:16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99" t="s">
        <v>119</v>
      </c>
      <c r="M13" s="100"/>
      <c r="N13" s="100"/>
      <c r="O13" s="101"/>
    </row>
    <row r="14" spans="1:16" ht="9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2"/>
      <c r="M14" s="103"/>
      <c r="N14" s="103"/>
      <c r="O14" s="104"/>
    </row>
    <row r="15" spans="1:16" ht="18" customHeight="1">
      <c r="A15" s="87" t="s">
        <v>158</v>
      </c>
      <c r="B15" s="88"/>
      <c r="C15" s="88"/>
      <c r="D15" s="89"/>
      <c r="E15" s="89"/>
      <c r="F15" s="89"/>
      <c r="G15" s="89"/>
      <c r="H15" s="89"/>
      <c r="I15" s="89"/>
      <c r="J15" s="90"/>
      <c r="K15" s="10"/>
      <c r="L15" s="16"/>
      <c r="M15" s="11"/>
      <c r="N15" s="11"/>
      <c r="O15" s="17"/>
    </row>
    <row r="16" spans="1:16" ht="15.75" customHeight="1">
      <c r="A16" s="63" t="s">
        <v>99</v>
      </c>
      <c r="B16" s="64"/>
      <c r="C16" s="64"/>
      <c r="D16" s="65">
        <f>Settings!B7</f>
        <v>41740</v>
      </c>
      <c r="E16" s="65"/>
      <c r="F16" s="64" t="s">
        <v>57</v>
      </c>
      <c r="G16" s="64"/>
      <c r="H16" s="73">
        <f ca="1">IF(ISERROR(DATEDIF(TODAY(),D16,"d")),0,DATEDIF(TODAY(),D16,"d"))</f>
        <v>0</v>
      </c>
      <c r="I16" s="73"/>
      <c r="J16" s="74"/>
      <c r="K16" s="12"/>
      <c r="L16" s="16"/>
      <c r="M16" s="11"/>
      <c r="N16" s="11"/>
      <c r="O16" s="17"/>
    </row>
    <row r="17" spans="1:16" ht="9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6"/>
      <c r="M17" s="11"/>
      <c r="N17" s="11"/>
      <c r="O17" s="17"/>
    </row>
    <row r="18" spans="1:16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6"/>
      <c r="M18" s="11"/>
      <c r="N18" s="11"/>
      <c r="O18" s="17"/>
    </row>
    <row r="19" spans="1:16" ht="16.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6"/>
      <c r="M19" s="11"/>
      <c r="N19" s="11"/>
      <c r="O19" s="17"/>
    </row>
    <row r="20" spans="1:16" ht="16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78"/>
      <c r="M20" s="79"/>
      <c r="N20" s="79"/>
      <c r="O20" s="80"/>
      <c r="P20" s="10"/>
    </row>
    <row r="21" spans="1:16" ht="9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ht="18" customHeight="1">
      <c r="A22" s="61" t="s">
        <v>159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31"/>
      <c r="M22" s="31"/>
      <c r="N22" s="31"/>
      <c r="O22" s="32"/>
      <c r="P22" s="10"/>
    </row>
    <row r="23" spans="1:16">
      <c r="A23" s="66" t="s">
        <v>56</v>
      </c>
      <c r="B23" s="67"/>
      <c r="C23" s="67"/>
      <c r="D23" s="68">
        <f>Settings!B6</f>
        <v>41793</v>
      </c>
      <c r="E23" s="68"/>
      <c r="F23" s="67" t="s">
        <v>57</v>
      </c>
      <c r="G23" s="67"/>
      <c r="H23" s="75">
        <f ca="1">IF(ISERROR(DATEDIF(TODAY(),D23,"d")),0,DATEDIF(TODAY(),D23,"d"))</f>
        <v>0</v>
      </c>
      <c r="I23" s="75"/>
      <c r="J23" s="75"/>
      <c r="K23" s="33"/>
      <c r="L23" s="34"/>
      <c r="M23" s="35"/>
      <c r="N23" s="35"/>
      <c r="O23" s="36"/>
      <c r="P23" s="10"/>
    </row>
    <row r="24" spans="1:16" ht="9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ht="22" customHeight="1">
      <c r="A25" s="10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9"/>
      <c r="M25" s="28"/>
      <c r="N25" s="45"/>
      <c r="O25" s="46"/>
      <c r="P25" s="10"/>
    </row>
    <row r="26" spans="1:16" ht="21" customHeight="1">
      <c r="B26" s="69" t="s">
        <v>141</v>
      </c>
      <c r="C26" s="70"/>
      <c r="D26" s="40"/>
      <c r="E26" s="40"/>
      <c r="F26" s="40"/>
      <c r="G26" s="40"/>
      <c r="H26" s="40"/>
      <c r="I26" s="40"/>
      <c r="J26" s="40"/>
      <c r="K26" s="40"/>
      <c r="L26" s="41"/>
      <c r="M26" s="28"/>
      <c r="N26" s="47"/>
      <c r="O26" s="48"/>
      <c r="P26" s="10"/>
    </row>
    <row r="27" spans="1:16" ht="21" customHeight="1">
      <c r="A27" s="10"/>
      <c r="B27" s="71" t="s">
        <v>143</v>
      </c>
      <c r="C27" s="72"/>
      <c r="D27" s="42"/>
      <c r="E27" s="42"/>
      <c r="F27" s="42"/>
      <c r="G27" s="42"/>
      <c r="H27" s="42"/>
      <c r="I27" s="42"/>
      <c r="J27" s="42"/>
      <c r="K27" s="42"/>
      <c r="L27" s="43"/>
      <c r="M27" s="28"/>
      <c r="N27" s="47"/>
      <c r="O27" s="48"/>
      <c r="P27" s="10"/>
    </row>
    <row r="28" spans="1:16" ht="6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47"/>
      <c r="O28" s="48"/>
      <c r="P28" s="10"/>
    </row>
    <row r="29" spans="1:16" ht="16">
      <c r="A29" s="10"/>
      <c r="B29" s="37"/>
      <c r="C29" s="38"/>
      <c r="D29" s="38"/>
      <c r="E29" s="38"/>
      <c r="F29" s="38"/>
      <c r="G29" s="38"/>
      <c r="H29" s="39"/>
      <c r="I29" s="30"/>
      <c r="J29" s="52"/>
      <c r="K29" s="53"/>
      <c r="L29" s="53"/>
      <c r="M29" s="53"/>
      <c r="N29" s="49"/>
      <c r="O29" s="48"/>
      <c r="P29" s="10"/>
    </row>
    <row r="30" spans="1:16" ht="29" customHeight="1">
      <c r="A30" s="10"/>
      <c r="B30" s="69" t="s">
        <v>142</v>
      </c>
      <c r="C30" s="70"/>
      <c r="D30" s="40"/>
      <c r="E30" s="40"/>
      <c r="F30" s="40"/>
      <c r="G30" s="40"/>
      <c r="H30" s="41"/>
      <c r="I30" s="30"/>
      <c r="J30" s="54"/>
      <c r="K30" s="55"/>
      <c r="L30" s="55"/>
      <c r="M30" s="55"/>
      <c r="N30" s="49"/>
      <c r="O30" s="48"/>
      <c r="P30" s="10"/>
    </row>
    <row r="31" spans="1:16" ht="16.5" customHeight="1">
      <c r="A31" s="10"/>
      <c r="B31" s="44"/>
      <c r="C31" s="42"/>
      <c r="D31" s="42"/>
      <c r="E31" s="42"/>
      <c r="F31" s="42"/>
      <c r="G31" s="42"/>
      <c r="H31" s="43"/>
      <c r="I31" s="30"/>
      <c r="J31" s="56"/>
      <c r="K31" s="57"/>
      <c r="L31" s="57"/>
      <c r="M31" s="57"/>
      <c r="N31" s="50"/>
      <c r="O31" s="51"/>
      <c r="P31" s="10"/>
    </row>
    <row r="32" spans="1:16" ht="9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</row>
    <row r="33" spans="1:16" ht="18" customHeight="1">
      <c r="A33" s="59" t="s">
        <v>185</v>
      </c>
      <c r="B33" s="60"/>
      <c r="C33" s="60"/>
      <c r="D33" s="60"/>
      <c r="E33" s="60"/>
      <c r="F33" s="60"/>
      <c r="G33" s="60"/>
      <c r="H33" s="60"/>
      <c r="I33" s="60"/>
      <c r="J33" s="60"/>
      <c r="K33" s="76"/>
      <c r="L33" s="76"/>
      <c r="M33" s="76"/>
      <c r="N33" s="76"/>
      <c r="O33" s="77"/>
    </row>
    <row r="34" spans="1:16" ht="9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</row>
    <row r="35" spans="1:16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58"/>
      <c r="M35" s="10"/>
      <c r="N35" s="10"/>
      <c r="O35" s="10"/>
      <c r="P35" s="10"/>
    </row>
    <row r="36" spans="1:16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58"/>
      <c r="M36" s="10"/>
      <c r="N36" s="10"/>
      <c r="O36" s="10"/>
      <c r="P36" s="10"/>
    </row>
    <row r="37" spans="1:16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58"/>
      <c r="M37" s="10"/>
      <c r="N37" s="10"/>
      <c r="O37" s="10"/>
      <c r="P37" s="10"/>
    </row>
    <row r="38" spans="1:16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6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</sheetData>
  <sheetProtection selectLockedCells="1" selectUnlockedCells="1"/>
  <mergeCells count="31">
    <mergeCell ref="L11:O11"/>
    <mergeCell ref="L12:O12"/>
    <mergeCell ref="L13:O13"/>
    <mergeCell ref="L14:O14"/>
    <mergeCell ref="L4:O4"/>
    <mergeCell ref="L5:O5"/>
    <mergeCell ref="L6:O6"/>
    <mergeCell ref="L8:O8"/>
    <mergeCell ref="L9:O9"/>
    <mergeCell ref="A2:J2"/>
    <mergeCell ref="A8:J8"/>
    <mergeCell ref="A15:J15"/>
    <mergeCell ref="D9:E9"/>
    <mergeCell ref="F9:G9"/>
    <mergeCell ref="A9:C9"/>
    <mergeCell ref="H9:J9"/>
    <mergeCell ref="A33:J33"/>
    <mergeCell ref="A22:K22"/>
    <mergeCell ref="A16:C16"/>
    <mergeCell ref="D16:E16"/>
    <mergeCell ref="F16:G16"/>
    <mergeCell ref="A23:C23"/>
    <mergeCell ref="D23:E23"/>
    <mergeCell ref="F23:G23"/>
    <mergeCell ref="B26:C26"/>
    <mergeCell ref="B27:C27"/>
    <mergeCell ref="B30:C30"/>
    <mergeCell ref="H16:J16"/>
    <mergeCell ref="H23:J23"/>
    <mergeCell ref="K33:O33"/>
    <mergeCell ref="L20:O20"/>
  </mergeCells>
  <conditionalFormatting sqref="H9:I9">
    <cfRule type="cellIs" dxfId="5" priority="5" operator="between">
      <formula>11</formula>
      <formula>30</formula>
    </cfRule>
    <cfRule type="cellIs" dxfId="4" priority="6" operator="between">
      <formula>0</formula>
      <formula>10</formula>
    </cfRule>
  </conditionalFormatting>
  <conditionalFormatting sqref="H23:I23">
    <cfRule type="cellIs" dxfId="3" priority="3" operator="between">
      <formula>11</formula>
      <formula>30</formula>
    </cfRule>
    <cfRule type="cellIs" dxfId="2" priority="4" operator="between">
      <formula>0</formula>
      <formula>10</formula>
    </cfRule>
  </conditionalFormatting>
  <conditionalFormatting sqref="H16:I16">
    <cfRule type="cellIs" dxfId="1" priority="1" operator="between">
      <formula>11</formula>
      <formula>30</formula>
    </cfRule>
    <cfRule type="cellIs" dxfId="0" priority="2" operator="between">
      <formula>0</formula>
      <formula>10</formula>
    </cfRule>
  </conditionalFormatting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Button42_Click">
                <anchor>
                  <from>
                    <xdr:col>5</xdr:col>
                    <xdr:colOff>165100</xdr:colOff>
                    <xdr:row>3</xdr:row>
                    <xdr:rowOff>12700</xdr:rowOff>
                  </from>
                  <to>
                    <xdr:col>6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Button6_Click">
                <anchor>
                  <from>
                    <xdr:col>1</xdr:col>
                    <xdr:colOff>12700</xdr:colOff>
                    <xdr:row>10</xdr:row>
                    <xdr:rowOff>12700</xdr:rowOff>
                  </from>
                  <to>
                    <xdr:col>2</xdr:col>
                    <xdr:colOff>698500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Button41_Click">
                <anchor>
                  <from>
                    <xdr:col>5</xdr:col>
                    <xdr:colOff>165100</xdr:colOff>
                    <xdr:row>10</xdr:row>
                    <xdr:rowOff>12700</xdr:rowOff>
                  </from>
                  <to>
                    <xdr:col>6</xdr:col>
                    <xdr:colOff>850900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6" r:id="rId6" name="Button 8">
              <controlPr defaultSize="0" print="0" autoFill="0" autoPict="0" macro="[0]!Button8_Click">
                <anchor>
                  <from>
                    <xdr:col>3</xdr:col>
                    <xdr:colOff>88900</xdr:colOff>
                    <xdr:row>10</xdr:row>
                    <xdr:rowOff>12700</xdr:rowOff>
                  </from>
                  <to>
                    <xdr:col>4</xdr:col>
                    <xdr:colOff>774700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9" r:id="rId7" name="Button 11">
              <controlPr defaultSize="0" print="0" autoFill="0" autoPict="0" macro="[0]!Button11_Click">
                <anchor>
                  <from>
                    <xdr:col>1</xdr:col>
                    <xdr:colOff>12700</xdr:colOff>
                    <xdr:row>17</xdr:row>
                    <xdr:rowOff>12700</xdr:rowOff>
                  </from>
                  <to>
                    <xdr:col>2</xdr:col>
                    <xdr:colOff>698500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0" r:id="rId8" name="Button 12">
              <controlPr defaultSize="0" print="0" autoFill="0" autoPict="0" macro="[0]!button48_click">
                <anchor>
                  <from>
                    <xdr:col>5</xdr:col>
                    <xdr:colOff>165100</xdr:colOff>
                    <xdr:row>17</xdr:row>
                    <xdr:rowOff>12700</xdr:rowOff>
                  </from>
                  <to>
                    <xdr:col>6</xdr:col>
                    <xdr:colOff>850900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1" r:id="rId9" name="Button 13">
              <controlPr defaultSize="0" print="0" autoFill="0" autoPict="0" macro="[0]!Button13_Click">
                <anchor>
                  <from>
                    <xdr:col>3</xdr:col>
                    <xdr:colOff>88900</xdr:colOff>
                    <xdr:row>17</xdr:row>
                    <xdr:rowOff>12700</xdr:rowOff>
                  </from>
                  <to>
                    <xdr:col>4</xdr:col>
                    <xdr:colOff>774700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5" r:id="rId10" name="Button 17">
              <controlPr defaultSize="0" print="0" autoFill="0" autoPict="0" macro="[0]!Button17_Click">
                <anchor>
                  <from>
                    <xdr:col>1</xdr:col>
                    <xdr:colOff>12700</xdr:colOff>
                    <xdr:row>34</xdr:row>
                    <xdr:rowOff>12700</xdr:rowOff>
                  </from>
                  <to>
                    <xdr:col>2</xdr:col>
                    <xdr:colOff>698500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6" r:id="rId11" name="Button 18">
              <controlPr defaultSize="0" print="0" autoFill="0" autoPict="0" macro="[0]!button51_click">
                <anchor>
                  <from>
                    <xdr:col>3</xdr:col>
                    <xdr:colOff>101600</xdr:colOff>
                    <xdr:row>34</xdr:row>
                    <xdr:rowOff>12700</xdr:rowOff>
                  </from>
                  <to>
                    <xdr:col>4</xdr:col>
                    <xdr:colOff>787400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9" r:id="rId12" name="Button 21">
              <controlPr defaultSize="0" print="0" autoFill="0" autoPict="0" macro="[0]!button45_click">
                <anchor>
                  <from>
                    <xdr:col>5</xdr:col>
                    <xdr:colOff>177800</xdr:colOff>
                    <xdr:row>34</xdr:row>
                    <xdr:rowOff>12700</xdr:rowOff>
                  </from>
                  <to>
                    <xdr:col>7</xdr:col>
                    <xdr:colOff>25400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7" r:id="rId13" name="Button 29">
              <controlPr defaultSize="0" print="0" autoFill="0" autoPict="0" macro="[0]!button46_click">
                <anchor>
                  <from>
                    <xdr:col>9</xdr:col>
                    <xdr:colOff>76200</xdr:colOff>
                    <xdr:row>24</xdr:row>
                    <xdr:rowOff>127000</xdr:rowOff>
                  </from>
                  <to>
                    <xdr:col>11</xdr:col>
                    <xdr:colOff>749300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9" r:id="rId14" name="Button 31">
              <controlPr defaultSize="0" print="0" autoFill="0" autoPict="0" macro="[0]!Button43_Click">
                <anchor>
                  <from>
                    <xdr:col>11</xdr:col>
                    <xdr:colOff>584200</xdr:colOff>
                    <xdr:row>13</xdr:row>
                    <xdr:rowOff>101600</xdr:rowOff>
                  </from>
                  <to>
                    <xdr:col>14</xdr:col>
                    <xdr:colOff>355600</xdr:colOff>
                    <xdr:row>16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0" r:id="rId15" name="Button 32">
              <controlPr defaultSize="0" print="0" autoFill="0" autoPict="0" macro="[0]!Button32_Click">
                <anchor>
                  <from>
                    <xdr:col>12</xdr:col>
                    <xdr:colOff>12700</xdr:colOff>
                    <xdr:row>17</xdr:row>
                    <xdr:rowOff>88900</xdr:rowOff>
                  </from>
                  <to>
                    <xdr:col>14</xdr:col>
                    <xdr:colOff>63500</xdr:colOff>
                    <xdr:row>19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1" r:id="rId16" name="Button 33">
              <controlPr defaultSize="0" print="0" autoFill="0" autoPict="0" macro="[0]!Button33_Click">
                <anchor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698500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2" r:id="rId17" name="Button 34">
              <controlPr defaultSize="0" print="0" autoFill="0" autoPict="0" macro="[0]!Button31_Click">
                <anchor>
                  <from>
                    <xdr:col>3</xdr:col>
                    <xdr:colOff>88900</xdr:colOff>
                    <xdr:row>3</xdr:row>
                    <xdr:rowOff>12700</xdr:rowOff>
                  </from>
                  <to>
                    <xdr:col>4</xdr:col>
                    <xdr:colOff>774700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4" r:id="rId18" name="Button 36">
              <controlPr defaultSize="0" print="0" autoFill="0" autoPict="0" macro="[0]!button44_click">
                <anchor>
                  <from>
                    <xdr:col>5</xdr:col>
                    <xdr:colOff>177800</xdr:colOff>
                    <xdr:row>28</xdr:row>
                    <xdr:rowOff>114300</xdr:rowOff>
                  </from>
                  <to>
                    <xdr:col>7</xdr:col>
                    <xdr:colOff>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1" r:id="rId19" name="Button 23">
              <controlPr defaultSize="0" print="0" autoFill="0" autoPict="0" macro="[0]!button50_click">
                <anchor>
                  <from>
                    <xdr:col>9</xdr:col>
                    <xdr:colOff>88900</xdr:colOff>
                    <xdr:row>28</xdr:row>
                    <xdr:rowOff>101600</xdr:rowOff>
                  </from>
                  <to>
                    <xdr:col>11</xdr:col>
                    <xdr:colOff>749300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3" r:id="rId20" name="Button 15">
              <controlPr defaultSize="0" print="0" autoFill="0" autoPict="0" macro="[0]!Button15_Click">
                <anchor>
                  <from>
                    <xdr:col>3</xdr:col>
                    <xdr:colOff>101600</xdr:colOff>
                    <xdr:row>28</xdr:row>
                    <xdr:rowOff>114300</xdr:rowOff>
                  </from>
                  <to>
                    <xdr:col>4</xdr:col>
                    <xdr:colOff>787400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2" r:id="rId21" name="Button 14">
              <controlPr defaultSize="0" print="0" autoFill="0" autoPict="0" macro="[0]!Button14_Click">
                <anchor>
                  <from>
                    <xdr:col>5</xdr:col>
                    <xdr:colOff>177800</xdr:colOff>
                    <xdr:row>24</xdr:row>
                    <xdr:rowOff>101600</xdr:rowOff>
                  </from>
                  <to>
                    <xdr:col>7</xdr:col>
                    <xdr:colOff>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4" r:id="rId22" name="Button 16">
              <controlPr defaultSize="0" print="0" autoFill="0" autoPict="0" macro="[0]!Button16_Click">
                <anchor>
                  <from>
                    <xdr:col>13</xdr:col>
                    <xdr:colOff>127000</xdr:colOff>
                    <xdr:row>24</xdr:row>
                    <xdr:rowOff>127000</xdr:rowOff>
                  </from>
                  <to>
                    <xdr:col>14</xdr:col>
                    <xdr:colOff>838200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6" r:id="rId23" name="Button 38">
              <controlPr defaultSize="0" print="0" autoFill="0" autoPict="0" macro="[0]!button47_click">
                <anchor>
                  <from>
                    <xdr:col>3</xdr:col>
                    <xdr:colOff>101600</xdr:colOff>
                    <xdr:row>24</xdr:row>
                    <xdr:rowOff>101600</xdr:rowOff>
                  </from>
                  <to>
                    <xdr:col>4</xdr:col>
                    <xdr:colOff>787400</xdr:colOff>
                    <xdr:row>26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11" r:id="rId24" name="Button 43">
              <controlPr defaultSize="0" print="0" autoFill="0" autoPict="0" macro="[0]!button49_click">
                <anchor>
                  <from>
                    <xdr:col>13</xdr:col>
                    <xdr:colOff>127000</xdr:colOff>
                    <xdr:row>28</xdr:row>
                    <xdr:rowOff>101600</xdr:rowOff>
                  </from>
                  <to>
                    <xdr:col>14</xdr:col>
                    <xdr:colOff>825500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25"/>
  <sheetViews>
    <sheetView workbookViewId="0">
      <selection activeCell="D27" sqref="D27"/>
    </sheetView>
  </sheetViews>
  <sheetFormatPr baseColWidth="10" defaultColWidth="11" defaultRowHeight="15" x14ac:dyDescent="0"/>
  <cols>
    <col min="1" max="1" width="5.1640625" style="5" bestFit="1" customWidth="1"/>
    <col min="2" max="2" width="11.6640625" style="5" customWidth="1"/>
    <col min="3" max="3" width="15.6640625" style="5" customWidth="1"/>
    <col min="4" max="10" width="6" style="5" bestFit="1" customWidth="1"/>
    <col min="11" max="11" width="16.33203125" style="5" bestFit="1" customWidth="1"/>
    <col min="12" max="12" width="6" style="5" bestFit="1" customWidth="1"/>
    <col min="13" max="13" width="13.33203125" style="5" bestFit="1" customWidth="1"/>
    <col min="14" max="14" width="6" style="5" bestFit="1" customWidth="1"/>
    <col min="15" max="15" width="13.83203125" style="5" bestFit="1" customWidth="1"/>
    <col min="16" max="16" width="17.83203125" style="5" customWidth="1"/>
    <col min="17" max="17" width="21.1640625" style="5" bestFit="1" customWidth="1"/>
    <col min="18" max="16384" width="11" style="5"/>
  </cols>
  <sheetData>
    <row r="1" spans="1:17">
      <c r="A1" s="8" t="s">
        <v>7</v>
      </c>
      <c r="B1" s="8" t="s">
        <v>0</v>
      </c>
      <c r="C1" s="8" t="s">
        <v>1</v>
      </c>
      <c r="D1" s="8">
        <v>6</v>
      </c>
      <c r="E1" s="8">
        <v>7</v>
      </c>
      <c r="F1" s="8">
        <v>8</v>
      </c>
      <c r="G1" s="8">
        <v>9</v>
      </c>
      <c r="H1" s="8">
        <v>10</v>
      </c>
      <c r="I1" s="8">
        <v>11</v>
      </c>
      <c r="J1" s="8">
        <v>12</v>
      </c>
      <c r="K1" s="8" t="s">
        <v>8</v>
      </c>
      <c r="L1" s="8" t="s">
        <v>52</v>
      </c>
      <c r="M1" s="8" t="s">
        <v>170</v>
      </c>
      <c r="N1" s="8" t="s">
        <v>6</v>
      </c>
      <c r="O1" s="8" t="s">
        <v>51</v>
      </c>
      <c r="P1" s="8" t="s">
        <v>58</v>
      </c>
      <c r="Q1" s="8" t="s">
        <v>67</v>
      </c>
    </row>
    <row r="2" spans="1:17">
      <c r="O2" s="6"/>
    </row>
    <row r="3" spans="1:17">
      <c r="O3" s="6"/>
    </row>
    <row r="4" spans="1:17">
      <c r="O4" s="6"/>
    </row>
    <row r="5" spans="1:17">
      <c r="O5" s="6"/>
    </row>
    <row r="6" spans="1:17">
      <c r="O6" s="6"/>
    </row>
    <row r="7" spans="1:17">
      <c r="O7" s="6"/>
    </row>
    <row r="8" spans="1:17">
      <c r="O8" s="6"/>
    </row>
    <row r="9" spans="1:17">
      <c r="O9" s="6"/>
    </row>
    <row r="10" spans="1:17">
      <c r="O10" s="6"/>
    </row>
    <row r="11" spans="1:17">
      <c r="O11" s="6"/>
    </row>
    <row r="12" spans="1:17">
      <c r="O12" s="6"/>
    </row>
    <row r="13" spans="1:17">
      <c r="O13" s="6"/>
    </row>
    <row r="14" spans="1:17">
      <c r="O14" s="6"/>
    </row>
    <row r="15" spans="1:17">
      <c r="O15" s="6"/>
    </row>
    <row r="16" spans="1:17">
      <c r="O16" s="6"/>
    </row>
    <row r="17" spans="15:15">
      <c r="O17" s="6"/>
    </row>
    <row r="18" spans="15:15">
      <c r="O18" s="6"/>
    </row>
    <row r="19" spans="15:15">
      <c r="O19" s="6"/>
    </row>
    <row r="20" spans="15:15">
      <c r="O20" s="6"/>
    </row>
    <row r="21" spans="15:15">
      <c r="O21" s="6"/>
    </row>
    <row r="22" spans="15:15">
      <c r="O22" s="6"/>
    </row>
    <row r="23" spans="15:15">
      <c r="O23" s="6"/>
    </row>
    <row r="24" spans="15:15">
      <c r="O24" s="6"/>
    </row>
    <row r="25" spans="15:15">
      <c r="O25" s="6"/>
    </row>
  </sheetData>
  <sortState ref="A1:Q2">
    <sortCondition ref="C1:C2"/>
    <sortCondition ref="B1:B2"/>
  </sortState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2"/>
  <sheetViews>
    <sheetView workbookViewId="0">
      <selection activeCell="E31" sqref="E31"/>
    </sheetView>
  </sheetViews>
  <sheetFormatPr baseColWidth="10" defaultColWidth="11" defaultRowHeight="15" x14ac:dyDescent="0"/>
  <cols>
    <col min="1" max="1" width="5" style="5" customWidth="1"/>
    <col min="2" max="2" width="11" style="5" customWidth="1"/>
    <col min="3" max="3" width="14.33203125" style="5" customWidth="1"/>
    <col min="4" max="4" width="20.33203125" style="5" bestFit="1" customWidth="1"/>
    <col min="5" max="5" width="17.5" style="5" bestFit="1" customWidth="1"/>
    <col min="6" max="6" width="23.5" style="5" customWidth="1"/>
    <col min="7" max="7" width="10.33203125" style="5" customWidth="1"/>
    <col min="8" max="8" width="14.1640625" style="5" bestFit="1" customWidth="1"/>
    <col min="9" max="9" width="17.5" style="5" customWidth="1"/>
    <col min="10" max="10" width="19.6640625" style="5" bestFit="1" customWidth="1"/>
    <col min="11" max="11" width="12.5" style="5" customWidth="1"/>
    <col min="12" max="16384" width="11" style="5"/>
  </cols>
  <sheetData>
    <row r="1" spans="1:11">
      <c r="A1" s="8" t="s">
        <v>7</v>
      </c>
      <c r="B1" s="8" t="s">
        <v>0</v>
      </c>
      <c r="C1" s="8" t="s">
        <v>1</v>
      </c>
      <c r="D1" s="8" t="s">
        <v>53</v>
      </c>
      <c r="E1" s="8" t="s">
        <v>65</v>
      </c>
      <c r="F1" s="8" t="s">
        <v>54</v>
      </c>
      <c r="G1" s="8" t="s">
        <v>55</v>
      </c>
      <c r="H1" s="8" t="s">
        <v>51</v>
      </c>
      <c r="I1" s="8" t="s">
        <v>58</v>
      </c>
      <c r="J1" s="8" t="s">
        <v>121</v>
      </c>
      <c r="K1" s="8" t="s">
        <v>127</v>
      </c>
    </row>
    <row r="2" spans="1:11">
      <c r="D2" s="6"/>
      <c r="H2" s="6"/>
    </row>
    <row r="3" spans="1:11">
      <c r="D3" s="6"/>
      <c r="H3" s="6"/>
    </row>
    <row r="4" spans="1:11">
      <c r="D4" s="6"/>
      <c r="H4" s="6"/>
    </row>
    <row r="5" spans="1:11">
      <c r="D5" s="6"/>
      <c r="H5" s="6"/>
    </row>
    <row r="6" spans="1:11">
      <c r="D6" s="6"/>
      <c r="H6" s="6"/>
    </row>
    <row r="7" spans="1:11">
      <c r="D7" s="6"/>
      <c r="H7" s="6"/>
    </row>
    <row r="8" spans="1:11">
      <c r="D8" s="6"/>
      <c r="H8" s="6"/>
    </row>
    <row r="9" spans="1:11">
      <c r="D9" s="6"/>
      <c r="H9" s="6"/>
    </row>
    <row r="10" spans="1:11">
      <c r="D10" s="6"/>
      <c r="H10" s="6"/>
    </row>
    <row r="11" spans="1:11">
      <c r="D11" s="6"/>
      <c r="H11" s="6"/>
    </row>
    <row r="12" spans="1:11">
      <c r="D12" s="6"/>
      <c r="H12" s="6"/>
    </row>
    <row r="13" spans="1:11">
      <c r="D13" s="6"/>
      <c r="H13" s="6"/>
    </row>
    <row r="14" spans="1:11">
      <c r="D14" s="6"/>
      <c r="H14" s="6"/>
    </row>
    <row r="15" spans="1:11">
      <c r="D15" s="6"/>
      <c r="H15" s="6"/>
    </row>
    <row r="16" spans="1:11">
      <c r="D16" s="6"/>
      <c r="H16" s="6"/>
    </row>
    <row r="17" spans="4:8">
      <c r="D17" s="6"/>
      <c r="H17" s="6"/>
    </row>
    <row r="18" spans="4:8">
      <c r="D18" s="6"/>
      <c r="H18" s="6"/>
    </row>
    <row r="19" spans="4:8">
      <c r="D19" s="6"/>
      <c r="H19" s="6"/>
    </row>
    <row r="20" spans="4:8">
      <c r="D20" s="6"/>
      <c r="H20" s="6"/>
    </row>
    <row r="21" spans="4:8">
      <c r="D21" s="6"/>
      <c r="H21" s="6"/>
    </row>
    <row r="22" spans="4:8">
      <c r="D22" s="6"/>
      <c r="H22" s="6"/>
    </row>
  </sheetData>
  <sortState ref="A1:K2">
    <sortCondition ref="C1:C2"/>
    <sortCondition ref="B1:B2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L26"/>
  <sheetViews>
    <sheetView workbookViewId="0">
      <selection activeCell="D23" sqref="D23"/>
    </sheetView>
  </sheetViews>
  <sheetFormatPr baseColWidth="10" defaultColWidth="8.83203125" defaultRowHeight="15" x14ac:dyDescent="0"/>
  <cols>
    <col min="1" max="1" width="5.33203125" style="5" customWidth="1"/>
    <col min="2" max="3" width="10.6640625" style="5" customWidth="1"/>
    <col min="4" max="4" width="46.1640625" style="5" customWidth="1"/>
    <col min="5" max="5" width="14.1640625" style="5" bestFit="1" customWidth="1"/>
    <col min="6" max="6" width="17.83203125" style="5" bestFit="1" customWidth="1"/>
    <col min="7" max="7" width="2.83203125" style="5" bestFit="1" customWidth="1"/>
    <col min="8" max="8" width="11.1640625" style="5" bestFit="1" customWidth="1"/>
    <col min="9" max="9" width="3" style="5" bestFit="1" customWidth="1"/>
    <col min="10" max="10" width="11.1640625" style="5" bestFit="1" customWidth="1"/>
    <col min="11" max="11" width="3" style="5" bestFit="1" customWidth="1"/>
    <col min="12" max="12" width="11" style="5" bestFit="1" customWidth="1"/>
    <col min="13" max="13" width="3" style="5" bestFit="1" customWidth="1"/>
    <col min="14" max="14" width="11.1640625" style="5" bestFit="1" customWidth="1"/>
    <col min="15" max="15" width="3" style="5" bestFit="1" customWidth="1"/>
    <col min="16" max="16" width="11.1640625" style="5" bestFit="1" customWidth="1"/>
    <col min="17" max="17" width="3" style="5" bestFit="1" customWidth="1"/>
    <col min="18" max="18" width="11.1640625" style="5" bestFit="1" customWidth="1"/>
    <col min="19" max="19" width="2.83203125" style="5" bestFit="1" customWidth="1"/>
    <col min="20" max="20" width="11.1640625" style="5" bestFit="1" customWidth="1"/>
    <col min="21" max="21" width="2.6640625" style="5" bestFit="1" customWidth="1"/>
    <col min="22" max="22" width="11.1640625" style="5" bestFit="1" customWidth="1"/>
    <col min="23" max="23" width="2.83203125" style="5" bestFit="1" customWidth="1"/>
    <col min="24" max="24" width="11" style="5" bestFit="1" customWidth="1"/>
    <col min="25" max="25" width="2.6640625" style="5" bestFit="1" customWidth="1"/>
    <col min="26" max="26" width="11" style="5" bestFit="1" customWidth="1"/>
    <col min="27" max="27" width="3" style="5" bestFit="1" customWidth="1"/>
    <col min="28" max="28" width="11.1640625" style="5" bestFit="1" customWidth="1"/>
    <col min="29" max="29" width="2.5" style="5" bestFit="1" customWidth="1"/>
    <col min="30" max="30" width="10.6640625" style="5" bestFit="1" customWidth="1"/>
    <col min="31" max="31" width="8.83203125" style="5"/>
    <col min="32" max="32" width="11.33203125" style="5" customWidth="1"/>
    <col min="33" max="33" width="14.1640625" style="5" bestFit="1" customWidth="1"/>
    <col min="34" max="34" width="10.6640625" style="5" customWidth="1"/>
    <col min="35" max="35" width="14.1640625" style="5" bestFit="1" customWidth="1"/>
    <col min="36" max="36" width="19.6640625" style="5" bestFit="1" customWidth="1"/>
    <col min="37" max="37" width="9.83203125" style="5" customWidth="1"/>
    <col min="38" max="16384" width="8.83203125" style="5"/>
  </cols>
  <sheetData>
    <row r="1" spans="1:38" s="7" customFormat="1">
      <c r="A1" s="4" t="s">
        <v>7</v>
      </c>
      <c r="B1" s="4" t="s">
        <v>0</v>
      </c>
      <c r="C1" s="4" t="s">
        <v>1</v>
      </c>
      <c r="D1" s="4" t="s">
        <v>70</v>
      </c>
      <c r="E1" s="4" t="s">
        <v>83</v>
      </c>
      <c r="F1" s="4" t="s">
        <v>37</v>
      </c>
      <c r="G1" s="4" t="s">
        <v>13</v>
      </c>
      <c r="H1" s="4" t="s">
        <v>71</v>
      </c>
      <c r="I1" s="4" t="s">
        <v>14</v>
      </c>
      <c r="J1" s="4" t="s">
        <v>72</v>
      </c>
      <c r="K1" s="4" t="s">
        <v>15</v>
      </c>
      <c r="L1" s="4" t="s">
        <v>73</v>
      </c>
      <c r="M1" s="4" t="s">
        <v>16</v>
      </c>
      <c r="N1" s="4" t="s">
        <v>74</v>
      </c>
      <c r="O1" s="4" t="s">
        <v>17</v>
      </c>
      <c r="P1" s="4" t="s">
        <v>75</v>
      </c>
      <c r="Q1" s="4" t="s">
        <v>18</v>
      </c>
      <c r="R1" s="4" t="s">
        <v>76</v>
      </c>
      <c r="S1" s="4" t="s">
        <v>29</v>
      </c>
      <c r="T1" s="4" t="s">
        <v>77</v>
      </c>
      <c r="U1" s="4" t="s">
        <v>30</v>
      </c>
      <c r="V1" s="4" t="s">
        <v>78</v>
      </c>
      <c r="W1" s="4" t="s">
        <v>31</v>
      </c>
      <c r="X1" s="4" t="s">
        <v>79</v>
      </c>
      <c r="Y1" s="4" t="s">
        <v>50</v>
      </c>
      <c r="Z1" s="4" t="s">
        <v>80</v>
      </c>
      <c r="AA1" s="4" t="s">
        <v>33</v>
      </c>
      <c r="AB1" s="4" t="s">
        <v>81</v>
      </c>
      <c r="AC1" s="4" t="s">
        <v>32</v>
      </c>
      <c r="AD1" s="4" t="s">
        <v>82</v>
      </c>
      <c r="AE1" s="4" t="s">
        <v>105</v>
      </c>
      <c r="AF1" s="4" t="s">
        <v>104</v>
      </c>
      <c r="AG1" s="4" t="s">
        <v>95</v>
      </c>
      <c r="AH1" s="4" t="s">
        <v>51</v>
      </c>
      <c r="AI1" s="4" t="s">
        <v>58</v>
      </c>
      <c r="AJ1" s="4" t="s">
        <v>121</v>
      </c>
      <c r="AK1" s="4" t="s">
        <v>128</v>
      </c>
      <c r="AL1" s="4" t="s">
        <v>157</v>
      </c>
    </row>
    <row r="2" spans="1:38">
      <c r="E2" s="29"/>
      <c r="AH2" s="6"/>
    </row>
    <row r="3" spans="1:38">
      <c r="E3" s="6"/>
      <c r="AH3" s="6"/>
    </row>
    <row r="4" spans="1:38">
      <c r="E4" s="6"/>
      <c r="AH4" s="6"/>
    </row>
    <row r="5" spans="1:38">
      <c r="E5" s="6"/>
      <c r="AH5" s="6"/>
    </row>
    <row r="6" spans="1:38">
      <c r="E6" s="6"/>
      <c r="AH6" s="6"/>
    </row>
    <row r="7" spans="1:38">
      <c r="E7" s="6"/>
      <c r="AH7" s="6"/>
    </row>
    <row r="8" spans="1:38">
      <c r="E8" s="6"/>
      <c r="AH8" s="6"/>
    </row>
    <row r="9" spans="1:38">
      <c r="E9" s="6"/>
      <c r="AH9" s="6"/>
    </row>
    <row r="10" spans="1:38">
      <c r="E10" s="6"/>
      <c r="AH10" s="6"/>
    </row>
    <row r="11" spans="1:38">
      <c r="E11" s="6"/>
      <c r="AH11" s="6"/>
    </row>
    <row r="12" spans="1:38">
      <c r="E12" s="6"/>
      <c r="AH12" s="6"/>
    </row>
    <row r="13" spans="1:38">
      <c r="E13" s="6"/>
      <c r="AH13" s="6"/>
    </row>
    <row r="14" spans="1:38">
      <c r="E14" s="6"/>
      <c r="AH14" s="6"/>
    </row>
    <row r="15" spans="1:38">
      <c r="E15" s="6"/>
      <c r="AH15" s="6"/>
    </row>
    <row r="16" spans="1:38">
      <c r="E16" s="6"/>
      <c r="AH16" s="6"/>
    </row>
    <row r="17" spans="5:34">
      <c r="E17" s="6"/>
      <c r="AH17" s="6"/>
    </row>
    <row r="18" spans="5:34">
      <c r="E18" s="6"/>
      <c r="AH18" s="6"/>
    </row>
    <row r="19" spans="5:34">
      <c r="E19" s="6"/>
      <c r="AH19" s="6"/>
    </row>
    <row r="20" spans="5:34">
      <c r="E20" s="6"/>
      <c r="AH20" s="6"/>
    </row>
    <row r="21" spans="5:34">
      <c r="E21" s="6"/>
      <c r="AH21" s="6"/>
    </row>
    <row r="22" spans="5:34">
      <c r="E22" s="6"/>
      <c r="AH22" s="6"/>
    </row>
    <row r="23" spans="5:34">
      <c r="E23" s="6"/>
      <c r="AH23" s="6"/>
    </row>
    <row r="24" spans="5:34">
      <c r="E24" s="6"/>
      <c r="AH24" s="6"/>
    </row>
    <row r="25" spans="5:34">
      <c r="E25" s="6"/>
      <c r="AH25" s="6"/>
    </row>
    <row r="26" spans="5:34">
      <c r="E26" s="6"/>
      <c r="AH26" s="6"/>
    </row>
  </sheetData>
  <sortState ref="A1:AL2">
    <sortCondition ref="A1:A2"/>
    <sortCondition ref="E1:E2"/>
    <sortCondition ref="D1:D2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M33"/>
  <sheetViews>
    <sheetView workbookViewId="0">
      <selection activeCell="N27" sqref="N27"/>
    </sheetView>
  </sheetViews>
  <sheetFormatPr baseColWidth="10" defaultColWidth="11" defaultRowHeight="15" x14ac:dyDescent="0"/>
  <cols>
    <col min="1" max="1" width="5.5" style="5" customWidth="1"/>
    <col min="2" max="2" width="11" style="5" customWidth="1"/>
    <col min="3" max="3" width="11.6640625" style="5" customWidth="1"/>
    <col min="4" max="4" width="21.33203125" style="5" customWidth="1"/>
    <col min="5" max="5" width="24.83203125" style="5" bestFit="1" customWidth="1"/>
    <col min="6" max="6" width="22" style="5" bestFit="1" customWidth="1"/>
    <col min="7" max="7" width="2.83203125" style="5" bestFit="1" customWidth="1"/>
    <col min="8" max="8" width="11.1640625" style="5" bestFit="1" customWidth="1"/>
    <col min="9" max="9" width="3" style="5" bestFit="1" customWidth="1"/>
    <col min="10" max="10" width="11.1640625" style="5" bestFit="1" customWidth="1"/>
    <col min="11" max="11" width="2.6640625" style="5" bestFit="1" customWidth="1"/>
    <col min="12" max="12" width="11.1640625" style="5" bestFit="1" customWidth="1"/>
    <col min="13" max="13" width="3" style="5" bestFit="1" customWidth="1"/>
    <col min="14" max="14" width="11.1640625" style="5" bestFit="1" customWidth="1"/>
    <col min="15" max="15" width="2.83203125" style="5" bestFit="1" customWidth="1"/>
    <col min="16" max="16" width="11.1640625" style="5" bestFit="1" customWidth="1"/>
    <col min="17" max="17" width="2.5" style="5" bestFit="1" customWidth="1"/>
    <col min="18" max="18" width="11.1640625" style="5" bestFit="1" customWidth="1"/>
    <col min="19" max="19" width="2.83203125" style="5" bestFit="1" customWidth="1"/>
    <col min="20" max="20" width="11.1640625" style="5" bestFit="1" customWidth="1"/>
    <col min="21" max="21" width="3" style="5" bestFit="1" customWidth="1"/>
    <col min="22" max="22" width="11.1640625" style="5" bestFit="1" customWidth="1"/>
    <col min="23" max="23" width="2.6640625" style="5" bestFit="1" customWidth="1"/>
    <col min="24" max="24" width="11.1640625" style="5" bestFit="1" customWidth="1"/>
    <col min="25" max="25" width="3" style="5" bestFit="1" customWidth="1"/>
    <col min="26" max="26" width="11.1640625" style="5" bestFit="1" customWidth="1"/>
    <col min="27" max="27" width="2.83203125" style="5" bestFit="1" customWidth="1"/>
    <col min="28" max="28" width="11.1640625" style="5" bestFit="1" customWidth="1"/>
    <col min="29" max="29" width="2.83203125" style="5" bestFit="1" customWidth="1"/>
    <col min="30" max="30" width="11.1640625" style="5" bestFit="1" customWidth="1"/>
    <col min="31" max="31" width="3" style="5" bestFit="1" customWidth="1"/>
    <col min="32" max="32" width="11.1640625" style="5" bestFit="1" customWidth="1"/>
    <col min="33" max="33" width="2.6640625" style="5" bestFit="1" customWidth="1"/>
    <col min="34" max="34" width="11.1640625" style="5" bestFit="1" customWidth="1"/>
    <col min="35" max="35" width="3" style="5" bestFit="1" customWidth="1"/>
    <col min="36" max="36" width="11.1640625" style="5" bestFit="1" customWidth="1"/>
    <col min="37" max="37" width="2.83203125" style="5" bestFit="1" customWidth="1"/>
    <col min="38" max="38" width="11.1640625" style="5" bestFit="1" customWidth="1"/>
    <col min="39" max="39" width="2.83203125" style="5" bestFit="1" customWidth="1"/>
    <col min="40" max="40" width="11.1640625" style="5" bestFit="1" customWidth="1"/>
    <col min="41" max="41" width="3" style="5" bestFit="1" customWidth="1"/>
    <col min="42" max="42" width="11.1640625" style="5" bestFit="1" customWidth="1"/>
    <col min="43" max="43" width="2.6640625" style="5" bestFit="1" customWidth="1"/>
    <col min="44" max="44" width="11.1640625" style="5" bestFit="1" customWidth="1"/>
    <col min="45" max="45" width="2.6640625" style="5" bestFit="1" customWidth="1"/>
    <col min="46" max="46" width="11.1640625" style="5" bestFit="1" customWidth="1"/>
    <col min="47" max="47" width="2.83203125" style="5" bestFit="1" customWidth="1"/>
    <col min="48" max="48" width="11.1640625" style="5" bestFit="1" customWidth="1"/>
    <col min="49" max="49" width="2.5" style="5" bestFit="1" customWidth="1"/>
    <col min="50" max="50" width="10.6640625" style="5" bestFit="1" customWidth="1"/>
    <col min="51" max="51" width="10.6640625" style="5" customWidth="1"/>
    <col min="52" max="52" width="11.6640625" style="5" bestFit="1" customWidth="1"/>
    <col min="53" max="53" width="14.1640625" style="5" bestFit="1" customWidth="1"/>
    <col min="54" max="55" width="11" style="5"/>
    <col min="56" max="56" width="24.1640625" style="5" customWidth="1"/>
    <col min="57" max="57" width="9" style="5" bestFit="1" customWidth="1"/>
    <col min="58" max="58" width="23.83203125" style="5" bestFit="1" customWidth="1"/>
    <col min="59" max="59" width="19.83203125" style="5" bestFit="1" customWidth="1"/>
    <col min="60" max="60" width="22.83203125" style="5" bestFit="1" customWidth="1"/>
    <col min="61" max="61" width="21.5" style="5" bestFit="1" customWidth="1"/>
    <col min="62" max="62" width="20.6640625" style="5" bestFit="1" customWidth="1"/>
    <col min="63" max="63" width="11" style="5"/>
    <col min="64" max="64" width="19.1640625" style="5" bestFit="1" customWidth="1"/>
    <col min="65" max="65" width="21.5" style="5" bestFit="1" customWidth="1"/>
    <col min="66" max="16384" width="11" style="5"/>
  </cols>
  <sheetData>
    <row r="1" spans="1:65" s="4" customFormat="1">
      <c r="A1" s="4" t="s">
        <v>7</v>
      </c>
      <c r="B1" s="4" t="s">
        <v>0</v>
      </c>
      <c r="C1" s="4" t="s">
        <v>1</v>
      </c>
      <c r="D1" s="4" t="s">
        <v>34</v>
      </c>
      <c r="E1" s="4" t="s">
        <v>84</v>
      </c>
      <c r="F1" s="4" t="s">
        <v>96</v>
      </c>
      <c r="G1" s="4" t="s">
        <v>13</v>
      </c>
      <c r="H1" s="4" t="s">
        <v>71</v>
      </c>
      <c r="I1" s="4" t="s">
        <v>14</v>
      </c>
      <c r="J1" s="4" t="s">
        <v>72</v>
      </c>
      <c r="K1" s="4" t="s">
        <v>15</v>
      </c>
      <c r="L1" s="4" t="s">
        <v>73</v>
      </c>
      <c r="M1" s="4" t="s">
        <v>16</v>
      </c>
      <c r="N1" s="4" t="s">
        <v>74</v>
      </c>
      <c r="O1" s="4" t="s">
        <v>17</v>
      </c>
      <c r="P1" s="4" t="s">
        <v>75</v>
      </c>
      <c r="Q1" s="4" t="s">
        <v>18</v>
      </c>
      <c r="R1" s="4" t="s">
        <v>76</v>
      </c>
      <c r="S1" s="4" t="s">
        <v>19</v>
      </c>
      <c r="T1" s="4" t="s">
        <v>85</v>
      </c>
      <c r="U1" s="4" t="s">
        <v>20</v>
      </c>
      <c r="V1" s="4" t="s">
        <v>86</v>
      </c>
      <c r="W1" s="4" t="s">
        <v>21</v>
      </c>
      <c r="X1" s="4" t="s">
        <v>87</v>
      </c>
      <c r="Y1" s="4" t="s">
        <v>22</v>
      </c>
      <c r="Z1" s="4" t="s">
        <v>88</v>
      </c>
      <c r="AA1" s="4" t="s">
        <v>23</v>
      </c>
      <c r="AB1" s="4" t="s">
        <v>89</v>
      </c>
      <c r="AC1" s="4" t="s">
        <v>24</v>
      </c>
      <c r="AD1" s="4" t="s">
        <v>90</v>
      </c>
      <c r="AE1" s="4" t="s">
        <v>25</v>
      </c>
      <c r="AF1" s="4" t="s">
        <v>91</v>
      </c>
      <c r="AG1" s="4" t="s">
        <v>26</v>
      </c>
      <c r="AH1" s="4" t="s">
        <v>92</v>
      </c>
      <c r="AI1" s="4" t="s">
        <v>27</v>
      </c>
      <c r="AJ1" s="4" t="s">
        <v>93</v>
      </c>
      <c r="AK1" s="4" t="s">
        <v>28</v>
      </c>
      <c r="AL1" s="4" t="s">
        <v>94</v>
      </c>
      <c r="AM1" s="4" t="s">
        <v>29</v>
      </c>
      <c r="AN1" s="4" t="s">
        <v>77</v>
      </c>
      <c r="AO1" s="4" t="s">
        <v>30</v>
      </c>
      <c r="AP1" s="4" t="s">
        <v>78</v>
      </c>
      <c r="AQ1" s="4" t="s">
        <v>31</v>
      </c>
      <c r="AR1" s="4" t="s">
        <v>79</v>
      </c>
      <c r="AS1" s="4" t="s">
        <v>50</v>
      </c>
      <c r="AT1" s="4" t="s">
        <v>80</v>
      </c>
      <c r="AU1" s="4" t="s">
        <v>33</v>
      </c>
      <c r="AV1" s="4" t="s">
        <v>81</v>
      </c>
      <c r="AW1" s="4" t="s">
        <v>32</v>
      </c>
      <c r="AX1" s="4" t="s">
        <v>82</v>
      </c>
      <c r="AY1" s="4" t="s">
        <v>105</v>
      </c>
      <c r="AZ1" s="4" t="s">
        <v>104</v>
      </c>
      <c r="BA1" s="4" t="s">
        <v>95</v>
      </c>
      <c r="BB1" s="4" t="s">
        <v>51</v>
      </c>
      <c r="BC1" s="4" t="s">
        <v>58</v>
      </c>
      <c r="BD1" s="4" t="s">
        <v>121</v>
      </c>
      <c r="BE1" s="4" t="s">
        <v>129</v>
      </c>
      <c r="BF1" s="4" t="s">
        <v>145</v>
      </c>
      <c r="BG1" s="4" t="s">
        <v>146</v>
      </c>
      <c r="BH1" s="4" t="s">
        <v>147</v>
      </c>
      <c r="BI1" s="4" t="s">
        <v>144</v>
      </c>
      <c r="BJ1" s="4" t="s">
        <v>136</v>
      </c>
      <c r="BK1" s="4" t="s">
        <v>55</v>
      </c>
      <c r="BL1" s="4" t="s">
        <v>154</v>
      </c>
      <c r="BM1" s="4" t="s">
        <v>155</v>
      </c>
    </row>
    <row r="2" spans="1:65">
      <c r="E2" s="6"/>
      <c r="F2" s="6"/>
      <c r="BB2" s="6"/>
      <c r="BF2" s="6"/>
      <c r="BI2" s="6"/>
      <c r="BL2" s="6"/>
    </row>
    <row r="3" spans="1:65">
      <c r="E3" s="6"/>
      <c r="F3" s="6"/>
      <c r="BB3" s="6"/>
      <c r="BF3" s="6"/>
      <c r="BG3" s="6"/>
      <c r="BI3" s="6"/>
      <c r="BJ3" s="6"/>
      <c r="BL3" s="6"/>
    </row>
    <row r="4" spans="1:65">
      <c r="E4" s="6"/>
      <c r="F4" s="6"/>
      <c r="BB4" s="6"/>
      <c r="BF4" s="6"/>
      <c r="BI4" s="6"/>
      <c r="BL4" s="6"/>
    </row>
    <row r="5" spans="1:65">
      <c r="E5" s="6"/>
      <c r="F5" s="6"/>
      <c r="BB5" s="6"/>
      <c r="BF5" s="6"/>
      <c r="BG5" s="6"/>
      <c r="BI5" s="6"/>
      <c r="BL5" s="6"/>
    </row>
    <row r="6" spans="1:65">
      <c r="E6" s="29"/>
      <c r="F6" s="6"/>
      <c r="BB6" s="6"/>
      <c r="BF6" s="6"/>
      <c r="BI6" s="6"/>
    </row>
    <row r="7" spans="1:65">
      <c r="E7" s="6"/>
      <c r="F7" s="6"/>
      <c r="BB7" s="6"/>
      <c r="BF7" s="6"/>
      <c r="BG7" s="6"/>
      <c r="BI7" s="6"/>
    </row>
    <row r="8" spans="1:65">
      <c r="E8" s="6"/>
      <c r="F8" s="6"/>
      <c r="AF8" s="6"/>
      <c r="BF8" s="6"/>
      <c r="BI8" s="6"/>
    </row>
    <row r="9" spans="1:65">
      <c r="E9" s="6"/>
      <c r="F9" s="6"/>
      <c r="BB9" s="6"/>
      <c r="BF9" s="6"/>
      <c r="BI9" s="6"/>
      <c r="BL9" s="6"/>
    </row>
    <row r="10" spans="1:65">
      <c r="E10" s="6"/>
      <c r="F10" s="6"/>
      <c r="BB10" s="6"/>
      <c r="BF10" s="6"/>
      <c r="BI10" s="6"/>
    </row>
    <row r="11" spans="1:65">
      <c r="E11" s="6"/>
      <c r="F11" s="6"/>
      <c r="BB11" s="6"/>
      <c r="BF11" s="6"/>
      <c r="BI11" s="6"/>
    </row>
    <row r="12" spans="1:65">
      <c r="E12" s="6"/>
      <c r="F12" s="6"/>
      <c r="BB12" s="6"/>
      <c r="BF12" s="6"/>
      <c r="BI12" s="6"/>
    </row>
    <row r="13" spans="1:65">
      <c r="E13" s="6"/>
      <c r="F13" s="6"/>
      <c r="BB13" s="6"/>
      <c r="BF13" s="6"/>
      <c r="BI13" s="6"/>
      <c r="BL13" s="6"/>
    </row>
    <row r="14" spans="1:65">
      <c r="E14" s="6"/>
      <c r="F14" s="6"/>
      <c r="BB14" s="6"/>
      <c r="BF14" s="6"/>
      <c r="BI14" s="6"/>
      <c r="BL14" s="6"/>
    </row>
    <row r="15" spans="1:65">
      <c r="E15" s="6"/>
      <c r="F15" s="6"/>
      <c r="BB15" s="6"/>
      <c r="BF15" s="6"/>
      <c r="BI15" s="6"/>
    </row>
    <row r="16" spans="1:65">
      <c r="E16" s="6"/>
      <c r="F16" s="6"/>
      <c r="BB16" s="6"/>
      <c r="BF16" s="6"/>
      <c r="BI16" s="6"/>
    </row>
    <row r="17" spans="5:64">
      <c r="E17" s="6"/>
      <c r="F17" s="6"/>
      <c r="BB17" s="6"/>
      <c r="BF17" s="6"/>
      <c r="BI17" s="6"/>
    </row>
    <row r="18" spans="5:64">
      <c r="E18" s="6"/>
      <c r="F18" s="6"/>
      <c r="BB18" s="6"/>
      <c r="BF18" s="6"/>
      <c r="BG18" s="6"/>
      <c r="BI18" s="6"/>
      <c r="BJ18" s="6"/>
      <c r="BL18" s="6"/>
    </row>
    <row r="19" spans="5:64">
      <c r="E19" s="6"/>
      <c r="F19" s="6"/>
      <c r="BB19" s="6"/>
      <c r="BF19" s="6"/>
      <c r="BG19" s="6"/>
      <c r="BI19" s="6"/>
    </row>
    <row r="20" spans="5:64">
      <c r="E20" s="6"/>
      <c r="F20" s="6"/>
      <c r="BB20" s="6"/>
      <c r="BF20" s="6"/>
      <c r="BI20" s="6"/>
    </row>
    <row r="21" spans="5:64">
      <c r="E21" s="6"/>
      <c r="F21" s="6"/>
      <c r="BB21" s="6"/>
      <c r="BF21" s="6"/>
      <c r="BI21" s="6"/>
    </row>
    <row r="22" spans="5:64">
      <c r="F22" s="6"/>
      <c r="BL22" s="6"/>
    </row>
    <row r="23" spans="5:64">
      <c r="E23" s="6"/>
      <c r="F23" s="6"/>
      <c r="BB23" s="6"/>
      <c r="BF23" s="6"/>
      <c r="BG23" s="6"/>
      <c r="BI23" s="6"/>
      <c r="BJ23" s="6"/>
      <c r="BL23" s="6"/>
    </row>
    <row r="24" spans="5:64">
      <c r="E24" s="6"/>
      <c r="F24" s="6"/>
      <c r="BB24" s="6"/>
      <c r="BF24" s="6"/>
      <c r="BI24" s="6"/>
    </row>
    <row r="25" spans="5:64">
      <c r="E25" s="6"/>
      <c r="F25" s="6"/>
      <c r="BB25" s="6"/>
      <c r="BF25" s="6"/>
      <c r="BI25" s="6"/>
    </row>
    <row r="26" spans="5:64">
      <c r="E26" s="6"/>
      <c r="F26" s="6"/>
      <c r="BB26" s="6"/>
      <c r="BF26" s="6"/>
      <c r="BI26" s="6"/>
    </row>
    <row r="27" spans="5:64">
      <c r="E27" s="6"/>
      <c r="F27" s="6"/>
      <c r="BB27" s="6"/>
      <c r="BF27" s="6"/>
      <c r="BI27" s="6"/>
    </row>
    <row r="28" spans="5:64">
      <c r="E28" s="6"/>
      <c r="F28" s="6"/>
      <c r="BB28" s="6"/>
      <c r="BF28" s="6"/>
      <c r="BI28" s="6"/>
    </row>
    <row r="29" spans="5:64">
      <c r="E29" s="6"/>
      <c r="F29" s="6"/>
      <c r="BB29" s="6"/>
      <c r="BF29" s="6"/>
      <c r="BI29" s="6"/>
    </row>
    <row r="30" spans="5:64">
      <c r="E30" s="6"/>
      <c r="F30" s="6"/>
      <c r="BB30" s="6"/>
      <c r="BF30" s="6"/>
      <c r="BG30" s="6"/>
      <c r="BI30" s="6"/>
    </row>
    <row r="31" spans="5:64">
      <c r="E31" s="6"/>
      <c r="F31" s="6"/>
      <c r="BB31" s="6"/>
      <c r="BF31" s="6"/>
      <c r="BI31" s="6"/>
      <c r="BL31" s="6"/>
    </row>
    <row r="32" spans="5:64">
      <c r="F32" s="6"/>
      <c r="BF32" s="6"/>
      <c r="BI32" s="6"/>
      <c r="BL32" s="6"/>
    </row>
    <row r="33" spans="6:64">
      <c r="F33" s="6"/>
      <c r="BF33" s="6"/>
      <c r="BI33" s="6"/>
      <c r="BL33" s="6"/>
    </row>
  </sheetData>
  <sortState ref="A1:BM2">
    <sortCondition ref="A1:A2"/>
    <sortCondition ref="E1:E2"/>
    <sortCondition ref="D1:D2"/>
  </sortState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K37"/>
  <sheetViews>
    <sheetView workbookViewId="0">
      <selection activeCell="A2" sqref="A2:BP5"/>
    </sheetView>
  </sheetViews>
  <sheetFormatPr baseColWidth="10" defaultColWidth="8.83203125" defaultRowHeight="15" x14ac:dyDescent="0"/>
  <cols>
    <col min="1" max="1" width="5.1640625" style="5" customWidth="1"/>
    <col min="2" max="2" width="10" style="5" bestFit="1" customWidth="1"/>
    <col min="3" max="3" width="9.6640625" style="5" bestFit="1" customWidth="1"/>
    <col min="4" max="4" width="30.5" style="5" customWidth="1"/>
    <col min="5" max="5" width="26.33203125" style="5" bestFit="1" customWidth="1"/>
    <col min="6" max="6" width="2.83203125" style="5" bestFit="1" customWidth="1"/>
    <col min="7" max="7" width="11.1640625" style="5" bestFit="1" customWidth="1"/>
    <col min="8" max="8" width="3" style="5" bestFit="1" customWidth="1"/>
    <col min="9" max="9" width="11.1640625" style="5" bestFit="1" customWidth="1"/>
    <col min="10" max="10" width="2.6640625" style="5" bestFit="1" customWidth="1"/>
    <col min="11" max="11" width="11" style="5" bestFit="1" customWidth="1"/>
    <col min="12" max="12" width="3" style="5" bestFit="1" customWidth="1"/>
    <col min="13" max="13" width="11.1640625" style="5" bestFit="1" customWidth="1"/>
    <col min="14" max="14" width="2.83203125" style="5" bestFit="1" customWidth="1"/>
    <col min="15" max="15" width="11.1640625" style="5" bestFit="1" customWidth="1"/>
    <col min="16" max="16" width="2.5" style="5" bestFit="1" customWidth="1"/>
    <col min="17" max="17" width="10.6640625" style="5" bestFit="1" customWidth="1"/>
    <col min="18" max="18" width="2.83203125" style="5" bestFit="1" customWidth="1"/>
    <col min="19" max="19" width="11.1640625" style="5" bestFit="1" customWidth="1"/>
    <col min="20" max="20" width="3" style="5" bestFit="1" customWidth="1"/>
    <col min="21" max="21" width="11.1640625" style="5" bestFit="1" customWidth="1"/>
    <col min="22" max="22" width="2.6640625" style="5" bestFit="1" customWidth="1"/>
    <col min="23" max="23" width="11" style="5" bestFit="1" customWidth="1"/>
    <col min="24" max="24" width="3" style="5" bestFit="1" customWidth="1"/>
    <col min="25" max="25" width="11.1640625" style="5" bestFit="1" customWidth="1"/>
    <col min="26" max="26" width="2.83203125" style="5" bestFit="1" customWidth="1"/>
    <col min="27" max="27" width="11.1640625" style="5" bestFit="1" customWidth="1"/>
    <col min="28" max="28" width="2.83203125" style="5" bestFit="1" customWidth="1"/>
    <col min="29" max="29" width="11.1640625" style="5" bestFit="1" customWidth="1"/>
    <col min="30" max="30" width="3" style="5" bestFit="1" customWidth="1"/>
    <col min="31" max="31" width="11.1640625" style="5" bestFit="1" customWidth="1"/>
    <col min="32" max="32" width="2.6640625" style="5" bestFit="1" customWidth="1"/>
    <col min="33" max="33" width="11" style="5" bestFit="1" customWidth="1"/>
    <col min="34" max="34" width="3" style="5" bestFit="1" customWidth="1"/>
    <col min="35" max="35" width="11.1640625" style="5" bestFit="1" customWidth="1"/>
    <col min="36" max="36" width="2.83203125" style="5" bestFit="1" customWidth="1"/>
    <col min="37" max="37" width="11.1640625" style="5" bestFit="1" customWidth="1"/>
    <col min="38" max="38" width="2.83203125" style="5" bestFit="1" customWidth="1"/>
    <col min="39" max="39" width="11.1640625" style="5" bestFit="1" customWidth="1"/>
    <col min="40" max="40" width="3" style="5" bestFit="1" customWidth="1"/>
    <col min="41" max="41" width="11.1640625" style="5" bestFit="1" customWidth="1"/>
    <col min="42" max="42" width="2.6640625" style="5" bestFit="1" customWidth="1"/>
    <col min="43" max="43" width="11" style="5" bestFit="1" customWidth="1"/>
    <col min="44" max="44" width="3" style="5" bestFit="1" customWidth="1"/>
    <col min="45" max="45" width="11.1640625" style="5" bestFit="1" customWidth="1"/>
    <col min="46" max="46" width="2.83203125" style="5" bestFit="1" customWidth="1"/>
    <col min="47" max="47" width="11.1640625" style="5" bestFit="1" customWidth="1"/>
    <col min="48" max="48" width="2.5" style="5" bestFit="1" customWidth="1"/>
    <col min="49" max="49" width="10.6640625" style="5" bestFit="1" customWidth="1"/>
    <col min="50" max="50" width="7.5" style="5" customWidth="1"/>
    <col min="51" max="51" width="11.6640625" style="5" bestFit="1" customWidth="1"/>
    <col min="52" max="52" width="10.1640625" style="5" bestFit="1" customWidth="1"/>
    <col min="53" max="53" width="14.1640625" style="5" bestFit="1" customWidth="1"/>
    <col min="54" max="54" width="16.5" style="5" customWidth="1"/>
    <col min="55" max="55" width="22.1640625" style="5" customWidth="1"/>
    <col min="56" max="56" width="10.33203125" style="5" customWidth="1"/>
    <col min="57" max="57" width="20.5" style="5" bestFit="1" customWidth="1"/>
    <col min="58" max="58" width="19" style="5" bestFit="1" customWidth="1"/>
    <col min="59" max="59" width="15.83203125" style="5" bestFit="1" customWidth="1"/>
    <col min="60" max="60" width="18.6640625" style="5" bestFit="1" customWidth="1"/>
    <col min="61" max="61" width="21.5" style="5" bestFit="1" customWidth="1"/>
    <col min="62" max="63" width="20.6640625" style="5" bestFit="1" customWidth="1"/>
    <col min="64" max="16384" width="8.83203125" style="5"/>
  </cols>
  <sheetData>
    <row r="1" spans="1:63" s="8" customFormat="1">
      <c r="A1" s="8" t="s">
        <v>7</v>
      </c>
      <c r="B1" s="8" t="s">
        <v>0</v>
      </c>
      <c r="C1" s="8" t="s">
        <v>1</v>
      </c>
      <c r="D1" s="4" t="s">
        <v>34</v>
      </c>
      <c r="E1" s="4" t="s">
        <v>103</v>
      </c>
      <c r="F1" s="4" t="s">
        <v>13</v>
      </c>
      <c r="G1" s="4" t="s">
        <v>71</v>
      </c>
      <c r="H1" s="4" t="s">
        <v>14</v>
      </c>
      <c r="I1" s="4" t="s">
        <v>72</v>
      </c>
      <c r="J1" s="4" t="s">
        <v>15</v>
      </c>
      <c r="K1" s="4" t="s">
        <v>73</v>
      </c>
      <c r="L1" s="4" t="s">
        <v>16</v>
      </c>
      <c r="M1" s="4" t="s">
        <v>74</v>
      </c>
      <c r="N1" s="4" t="s">
        <v>17</v>
      </c>
      <c r="O1" s="4" t="s">
        <v>75</v>
      </c>
      <c r="P1" s="4" t="s">
        <v>18</v>
      </c>
      <c r="Q1" s="4" t="s">
        <v>76</v>
      </c>
      <c r="R1" s="4" t="s">
        <v>19</v>
      </c>
      <c r="S1" s="4" t="s">
        <v>85</v>
      </c>
      <c r="T1" s="4" t="s">
        <v>20</v>
      </c>
      <c r="U1" s="4" t="s">
        <v>86</v>
      </c>
      <c r="V1" s="4" t="s">
        <v>21</v>
      </c>
      <c r="W1" s="4" t="s">
        <v>87</v>
      </c>
      <c r="X1" s="4" t="s">
        <v>22</v>
      </c>
      <c r="Y1" s="4" t="s">
        <v>88</v>
      </c>
      <c r="Z1" s="4" t="s">
        <v>23</v>
      </c>
      <c r="AA1" s="4" t="s">
        <v>89</v>
      </c>
      <c r="AB1" s="4" t="s">
        <v>24</v>
      </c>
      <c r="AC1" s="4" t="s">
        <v>90</v>
      </c>
      <c r="AD1" s="4" t="s">
        <v>25</v>
      </c>
      <c r="AE1" s="4" t="s">
        <v>91</v>
      </c>
      <c r="AF1" s="4" t="s">
        <v>26</v>
      </c>
      <c r="AG1" s="4" t="s">
        <v>92</v>
      </c>
      <c r="AH1" s="4" t="s">
        <v>27</v>
      </c>
      <c r="AI1" s="4" t="s">
        <v>93</v>
      </c>
      <c r="AJ1" s="4" t="s">
        <v>28</v>
      </c>
      <c r="AK1" s="4" t="s">
        <v>94</v>
      </c>
      <c r="AL1" s="4" t="s">
        <v>29</v>
      </c>
      <c r="AM1" s="4" t="s">
        <v>77</v>
      </c>
      <c r="AN1" s="4" t="s">
        <v>30</v>
      </c>
      <c r="AO1" s="4" t="s">
        <v>78</v>
      </c>
      <c r="AP1" s="4" t="s">
        <v>31</v>
      </c>
      <c r="AQ1" s="4" t="s">
        <v>79</v>
      </c>
      <c r="AR1" s="4" t="s">
        <v>50</v>
      </c>
      <c r="AS1" s="4" t="s">
        <v>80</v>
      </c>
      <c r="AT1" s="4" t="s">
        <v>33</v>
      </c>
      <c r="AU1" s="4" t="s">
        <v>81</v>
      </c>
      <c r="AV1" s="4" t="s">
        <v>32</v>
      </c>
      <c r="AW1" s="4" t="s">
        <v>82</v>
      </c>
      <c r="AX1" s="4" t="s">
        <v>105</v>
      </c>
      <c r="AY1" s="4" t="s">
        <v>104</v>
      </c>
      <c r="AZ1" s="4" t="s">
        <v>95</v>
      </c>
      <c r="BA1" s="4" t="s">
        <v>51</v>
      </c>
      <c r="BB1" s="4" t="s">
        <v>58</v>
      </c>
      <c r="BC1" s="8" t="s">
        <v>121</v>
      </c>
      <c r="BD1" s="8" t="s">
        <v>130</v>
      </c>
      <c r="BE1" s="8" t="s">
        <v>149</v>
      </c>
      <c r="BF1" s="8" t="s">
        <v>150</v>
      </c>
      <c r="BG1" s="8" t="s">
        <v>151</v>
      </c>
      <c r="BH1" s="8" t="s">
        <v>135</v>
      </c>
      <c r="BI1" s="4" t="s">
        <v>144</v>
      </c>
      <c r="BJ1" s="4" t="s">
        <v>136</v>
      </c>
      <c r="BK1" s="8" t="s">
        <v>55</v>
      </c>
    </row>
    <row r="2" spans="1:63">
      <c r="E2" s="6"/>
      <c r="BA2" s="6"/>
      <c r="BE2" s="6"/>
      <c r="BI2" s="6"/>
    </row>
    <row r="3" spans="1:63">
      <c r="E3" s="6"/>
      <c r="BA3" s="6"/>
      <c r="BE3" s="6"/>
      <c r="BF3" s="6"/>
      <c r="BI3" s="6"/>
    </row>
    <row r="4" spans="1:63">
      <c r="E4" s="6"/>
      <c r="BA4" s="6"/>
      <c r="BE4" s="6"/>
      <c r="BI4" s="6"/>
    </row>
    <row r="5" spans="1:63">
      <c r="E5" s="6"/>
      <c r="BA5" s="6"/>
      <c r="BE5" s="6"/>
      <c r="BF5" s="6"/>
      <c r="BI5" s="6"/>
      <c r="BJ5" s="6"/>
    </row>
    <row r="6" spans="1:63">
      <c r="E6" s="6"/>
      <c r="BA6" s="6"/>
      <c r="BE6" s="6"/>
      <c r="BF6" s="6"/>
      <c r="BI6" s="6"/>
    </row>
    <row r="7" spans="1:63">
      <c r="E7" s="6"/>
      <c r="BA7" s="6"/>
      <c r="BE7" s="6"/>
      <c r="BF7" s="6"/>
      <c r="BI7" s="6"/>
      <c r="BJ7" s="6"/>
    </row>
    <row r="8" spans="1:63">
      <c r="E8" s="6"/>
      <c r="BA8" s="6"/>
      <c r="BE8" s="6"/>
      <c r="BI8" s="6"/>
    </row>
    <row r="9" spans="1:63">
      <c r="E9" s="6"/>
      <c r="BA9" s="6"/>
      <c r="BE9" s="6"/>
      <c r="BI9" s="6"/>
    </row>
    <row r="10" spans="1:63">
      <c r="E10" s="6"/>
      <c r="BA10" s="6"/>
      <c r="BE10" s="6"/>
      <c r="BI10" s="6"/>
    </row>
    <row r="11" spans="1:63">
      <c r="E11" s="6"/>
      <c r="BA11" s="6"/>
      <c r="BE11" s="6"/>
      <c r="BF11" s="6"/>
      <c r="BG11" s="6"/>
      <c r="BI11" s="6"/>
      <c r="BJ11" s="6"/>
    </row>
    <row r="12" spans="1:63">
      <c r="E12" s="29"/>
      <c r="BA12" s="6"/>
      <c r="BE12" s="6"/>
      <c r="BI12" s="6"/>
    </row>
    <row r="13" spans="1:63">
      <c r="E13" s="6"/>
      <c r="BA13" s="6"/>
      <c r="BE13" s="6"/>
      <c r="BI13" s="6"/>
    </row>
    <row r="14" spans="1:63">
      <c r="E14" s="6"/>
      <c r="BA14" s="6"/>
      <c r="BE14" s="6"/>
      <c r="BI14" s="6"/>
    </row>
    <row r="15" spans="1:63">
      <c r="E15" s="6"/>
      <c r="BA15" s="6"/>
      <c r="BE15" s="6"/>
      <c r="BI15" s="6"/>
    </row>
    <row r="16" spans="1:63">
      <c r="E16" s="6"/>
      <c r="BA16" s="6"/>
      <c r="BE16" s="6"/>
      <c r="BF16" s="6"/>
      <c r="BI16" s="6"/>
    </row>
    <row r="17" spans="5:62">
      <c r="E17" s="6"/>
      <c r="BA17" s="6"/>
      <c r="BE17" s="6"/>
      <c r="BF17" s="6"/>
      <c r="BI17" s="6"/>
    </row>
    <row r="18" spans="5:62">
      <c r="E18" s="6"/>
      <c r="BA18" s="6"/>
      <c r="BE18" s="6"/>
      <c r="BF18" s="6"/>
      <c r="BI18" s="6"/>
    </row>
    <row r="19" spans="5:62">
      <c r="E19" s="6"/>
      <c r="BA19" s="6"/>
      <c r="BE19" s="6"/>
      <c r="BF19" s="6"/>
      <c r="BI19" s="6"/>
    </row>
    <row r="20" spans="5:62">
      <c r="E20" s="6"/>
      <c r="BA20" s="6"/>
      <c r="BE20" s="6"/>
      <c r="BI20" s="6"/>
    </row>
    <row r="21" spans="5:62">
      <c r="E21" s="6"/>
      <c r="BA21" s="6"/>
      <c r="BE21" s="6"/>
      <c r="BF21" s="6"/>
      <c r="BI21" s="6"/>
    </row>
    <row r="22" spans="5:62">
      <c r="E22" s="6"/>
      <c r="BA22" s="6"/>
      <c r="BE22" s="6"/>
      <c r="BI22" s="6"/>
    </row>
    <row r="23" spans="5:62">
      <c r="E23" s="6"/>
      <c r="BA23" s="6"/>
      <c r="BE23" s="6"/>
      <c r="BF23" s="6"/>
      <c r="BI23" s="6"/>
      <c r="BJ23" s="6"/>
    </row>
    <row r="24" spans="5:62">
      <c r="E24" s="6"/>
      <c r="BA24" s="6"/>
      <c r="BE24" s="6"/>
      <c r="BF24" s="6"/>
      <c r="BI24" s="6"/>
      <c r="BJ24" s="6"/>
    </row>
    <row r="25" spans="5:62">
      <c r="E25" s="6"/>
      <c r="BA25" s="6"/>
      <c r="BE25" s="6"/>
      <c r="BF25" s="6"/>
      <c r="BI25" s="6"/>
    </row>
    <row r="26" spans="5:62">
      <c r="E26" s="6"/>
      <c r="BA26" s="6"/>
      <c r="BE26" s="6"/>
      <c r="BI26" s="6"/>
    </row>
    <row r="27" spans="5:62">
      <c r="E27" s="6"/>
      <c r="BA27" s="6"/>
      <c r="BE27" s="6"/>
      <c r="BI27" s="6"/>
    </row>
    <row r="28" spans="5:62">
      <c r="E28" s="6"/>
      <c r="BA28" s="6"/>
      <c r="BE28" s="6"/>
      <c r="BI28" s="6"/>
    </row>
    <row r="29" spans="5:62">
      <c r="E29" s="6"/>
      <c r="BA29" s="6"/>
      <c r="BE29" s="6"/>
      <c r="BI29" s="6"/>
    </row>
    <row r="30" spans="5:62">
      <c r="E30" s="6"/>
      <c r="BA30" s="6"/>
      <c r="BE30" s="6"/>
      <c r="BI30" s="6"/>
    </row>
    <row r="31" spans="5:62">
      <c r="E31" s="6"/>
      <c r="BA31" s="6"/>
      <c r="BE31" s="6"/>
      <c r="BI31" s="6"/>
    </row>
    <row r="32" spans="5:62">
      <c r="E32" s="6"/>
      <c r="BA32" s="6"/>
      <c r="BE32" s="6"/>
      <c r="BF32" s="6"/>
      <c r="BI32" s="6"/>
      <c r="BJ32" s="6"/>
    </row>
    <row r="33" spans="5:61">
      <c r="E33" s="6"/>
      <c r="BA33" s="6"/>
      <c r="BE33" s="6"/>
      <c r="BF33" s="6"/>
      <c r="BI33" s="6"/>
    </row>
    <row r="34" spans="5:61">
      <c r="E34" s="6"/>
      <c r="BA34" s="6"/>
      <c r="BE34" s="6"/>
      <c r="BI34" s="6"/>
    </row>
    <row r="35" spans="5:61">
      <c r="E35" s="6"/>
      <c r="BA35" s="6"/>
      <c r="BE35" s="6"/>
      <c r="BI35" s="6"/>
    </row>
    <row r="36" spans="5:61">
      <c r="E36" s="6"/>
      <c r="BA36" s="6"/>
      <c r="BE36" s="6"/>
      <c r="BI36" s="6"/>
    </row>
    <row r="37" spans="5:61">
      <c r="E37" s="6"/>
      <c r="BA37" s="6"/>
      <c r="BE37" s="6"/>
      <c r="BF37" s="6"/>
      <c r="BI37" s="6"/>
    </row>
  </sheetData>
  <sortState ref="A1:BK2">
    <sortCondition ref="A1:A2"/>
    <sortCondition ref="E1:E2"/>
    <sortCondition ref="D1:D2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4"/>
  <sheetViews>
    <sheetView workbookViewId="0">
      <selection activeCell="C8" sqref="C8"/>
    </sheetView>
  </sheetViews>
  <sheetFormatPr baseColWidth="10" defaultColWidth="8.83203125" defaultRowHeight="15" x14ac:dyDescent="0"/>
  <cols>
    <col min="1" max="1" width="16.1640625" bestFit="1" customWidth="1"/>
    <col min="2" max="2" width="15.1640625" bestFit="1" customWidth="1"/>
    <col min="3" max="3" width="19.1640625" customWidth="1"/>
  </cols>
  <sheetData>
    <row r="1" spans="1:3">
      <c r="A1" s="21" t="s">
        <v>5</v>
      </c>
      <c r="B1" s="21"/>
      <c r="C1" s="21" t="s">
        <v>120</v>
      </c>
    </row>
    <row r="2" spans="1:3">
      <c r="A2" s="22" t="s">
        <v>177</v>
      </c>
      <c r="B2" s="22"/>
      <c r="C2" s="5"/>
    </row>
    <row r="3" spans="1:3">
      <c r="A3" s="22" t="s">
        <v>179</v>
      </c>
      <c r="B3" s="22"/>
      <c r="C3" s="5"/>
    </row>
    <row r="4" spans="1:3">
      <c r="A4" s="22" t="s">
        <v>178</v>
      </c>
      <c r="B4" s="22"/>
      <c r="C4" s="22"/>
    </row>
    <row r="5" spans="1:3">
      <c r="A5" s="22" t="s">
        <v>175</v>
      </c>
      <c r="B5" s="22"/>
      <c r="C5" s="22"/>
    </row>
    <row r="6" spans="1:3">
      <c r="A6" s="22" t="s">
        <v>167</v>
      </c>
      <c r="B6" s="22"/>
      <c r="C6" s="5"/>
    </row>
    <row r="7" spans="1:3">
      <c r="A7" s="22" t="s">
        <v>4</v>
      </c>
      <c r="B7" s="22"/>
      <c r="C7" s="22"/>
    </row>
    <row r="8" spans="1:3">
      <c r="A8" s="22" t="s">
        <v>173</v>
      </c>
      <c r="B8" s="22"/>
      <c r="C8" s="22"/>
    </row>
    <row r="9" spans="1:3">
      <c r="A9" s="22" t="s">
        <v>176</v>
      </c>
      <c r="B9" s="22"/>
      <c r="C9" s="22"/>
    </row>
    <row r="10" spans="1:3">
      <c r="A10" s="22" t="s">
        <v>169</v>
      </c>
    </row>
    <row r="11" spans="1:3">
      <c r="A11" s="22" t="s">
        <v>174</v>
      </c>
    </row>
    <row r="12" spans="1:3">
      <c r="A12" s="22" t="s">
        <v>172</v>
      </c>
    </row>
    <row r="13" spans="1:3">
      <c r="A13" t="s">
        <v>168</v>
      </c>
    </row>
    <row r="14" spans="1:3">
      <c r="A14" t="s">
        <v>166</v>
      </c>
    </row>
  </sheetData>
  <sortState ref="C2">
    <sortCondition ref="C1:C2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2"/>
  <sheetViews>
    <sheetView workbookViewId="0">
      <selection activeCell="A36" sqref="A36"/>
    </sheetView>
  </sheetViews>
  <sheetFormatPr baseColWidth="10" defaultColWidth="11" defaultRowHeight="15" x14ac:dyDescent="0"/>
  <cols>
    <col min="1" max="1" width="47" style="2" bestFit="1" customWidth="1"/>
    <col min="2" max="2" width="16.1640625" style="2" bestFit="1" customWidth="1"/>
    <col min="3" max="3" width="20" style="2" bestFit="1" customWidth="1"/>
    <col min="4" max="4" width="30.5" style="2" customWidth="1"/>
    <col min="5" max="5" width="54.5" style="2" customWidth="1"/>
    <col min="6" max="6" width="8.1640625" style="2" customWidth="1"/>
    <col min="7" max="7" width="2.6640625" customWidth="1"/>
    <col min="8" max="8" width="32" customWidth="1"/>
    <col min="9" max="9" width="16.33203125" customWidth="1"/>
    <col min="10" max="10" width="20" bestFit="1" customWidth="1"/>
  </cols>
  <sheetData>
    <row r="1" spans="1:6">
      <c r="A1" s="3" t="s">
        <v>49</v>
      </c>
      <c r="B1" s="2">
        <v>8</v>
      </c>
      <c r="C1" s="1" t="s">
        <v>137</v>
      </c>
      <c r="D1" s="1" t="s">
        <v>44</v>
      </c>
      <c r="E1" s="114" t="s">
        <v>47</v>
      </c>
      <c r="F1" s="114"/>
    </row>
    <row r="2" spans="1:6">
      <c r="A2" s="3" t="s">
        <v>152</v>
      </c>
      <c r="B2" s="2">
        <v>90</v>
      </c>
      <c r="C2" s="2" t="s">
        <v>140</v>
      </c>
      <c r="D2" s="2" t="s">
        <v>9</v>
      </c>
      <c r="E2" s="1" t="s">
        <v>45</v>
      </c>
      <c r="F2" s="1" t="s">
        <v>46</v>
      </c>
    </row>
    <row r="3" spans="1:6">
      <c r="A3" s="3" t="s">
        <v>122</v>
      </c>
      <c r="B3" s="2">
        <v>20</v>
      </c>
      <c r="C3" s="2" t="s">
        <v>139</v>
      </c>
      <c r="D3" s="2" t="s">
        <v>10</v>
      </c>
      <c r="E3" s="2" t="s">
        <v>106</v>
      </c>
      <c r="F3" s="2">
        <v>0.1</v>
      </c>
    </row>
    <row r="4" spans="1:6">
      <c r="A4" s="3" t="s">
        <v>123</v>
      </c>
      <c r="B4" s="2">
        <v>20</v>
      </c>
      <c r="C4" s="2" t="s">
        <v>138</v>
      </c>
      <c r="E4" s="2" t="s">
        <v>110</v>
      </c>
      <c r="F4" s="2">
        <v>0.125</v>
      </c>
    </row>
    <row r="5" spans="1:6">
      <c r="A5" s="3" t="s">
        <v>66</v>
      </c>
      <c r="B5" s="24">
        <v>41572</v>
      </c>
      <c r="C5" s="24" t="s">
        <v>153</v>
      </c>
      <c r="D5" s="1" t="s">
        <v>38</v>
      </c>
      <c r="E5" s="2" t="s">
        <v>109</v>
      </c>
      <c r="F5" s="2">
        <v>0.125</v>
      </c>
    </row>
    <row r="6" spans="1:6">
      <c r="A6" s="3" t="s">
        <v>97</v>
      </c>
      <c r="B6" s="24">
        <v>41793</v>
      </c>
      <c r="C6" t="s">
        <v>100</v>
      </c>
      <c r="D6" s="2" t="s">
        <v>11</v>
      </c>
      <c r="E6" s="2" t="s">
        <v>107</v>
      </c>
      <c r="F6" s="2">
        <v>0.1</v>
      </c>
    </row>
    <row r="7" spans="1:6">
      <c r="A7" s="3" t="s">
        <v>98</v>
      </c>
      <c r="B7" s="24">
        <v>41740</v>
      </c>
      <c r="C7" t="s">
        <v>101</v>
      </c>
      <c r="D7" s="2" t="s">
        <v>12</v>
      </c>
      <c r="E7" s="2" t="s">
        <v>108</v>
      </c>
      <c r="F7" s="2">
        <v>0.25</v>
      </c>
    </row>
    <row r="8" spans="1:6">
      <c r="A8" s="23" t="s">
        <v>124</v>
      </c>
      <c r="B8" s="2">
        <v>1</v>
      </c>
      <c r="E8" s="2" t="s">
        <v>111</v>
      </c>
      <c r="F8" s="2">
        <v>0.25</v>
      </c>
    </row>
    <row r="9" spans="1:6">
      <c r="A9" s="23" t="s">
        <v>125</v>
      </c>
      <c r="B9" s="2">
        <v>3</v>
      </c>
      <c r="C9" s="1" t="s">
        <v>2</v>
      </c>
      <c r="D9" s="1" t="s">
        <v>39</v>
      </c>
      <c r="E9" s="2" t="s">
        <v>117</v>
      </c>
      <c r="F9" s="2">
        <v>2.5000000000000001E-2</v>
      </c>
    </row>
    <row r="10" spans="1:6">
      <c r="A10" s="23" t="s">
        <v>126</v>
      </c>
      <c r="B10" s="2">
        <v>6</v>
      </c>
      <c r="C10" s="2" t="s">
        <v>166</v>
      </c>
      <c r="D10" s="2" t="s">
        <v>36</v>
      </c>
      <c r="E10" s="2" t="s">
        <v>118</v>
      </c>
      <c r="F10" s="2">
        <v>2.5000000000000001E-2</v>
      </c>
    </row>
    <row r="11" spans="1:6">
      <c r="A11" s="23" t="s">
        <v>148</v>
      </c>
      <c r="B11" s="2">
        <v>20</v>
      </c>
      <c r="C11" s="2" t="s">
        <v>171</v>
      </c>
      <c r="D11" s="2" t="s">
        <v>40</v>
      </c>
      <c r="E11" s="9" t="s">
        <v>112</v>
      </c>
      <c r="F11" s="2">
        <f>SUM(F3:F10)</f>
        <v>1</v>
      </c>
    </row>
    <row r="12" spans="1:6">
      <c r="A12" s="23" t="s">
        <v>156</v>
      </c>
      <c r="B12" s="24">
        <v>41810</v>
      </c>
      <c r="C12" s="2" t="s">
        <v>6</v>
      </c>
      <c r="D12" s="2" t="s">
        <v>35</v>
      </c>
    </row>
    <row r="13" spans="1:6">
      <c r="D13" s="2" t="s">
        <v>41</v>
      </c>
      <c r="E13" s="114" t="s">
        <v>48</v>
      </c>
      <c r="F13" s="114"/>
    </row>
    <row r="14" spans="1:6">
      <c r="B14" s="1" t="s">
        <v>3</v>
      </c>
      <c r="D14" s="2" t="s">
        <v>42</v>
      </c>
      <c r="E14" s="1" t="s">
        <v>45</v>
      </c>
      <c r="F14" s="1" t="s">
        <v>46</v>
      </c>
    </row>
    <row r="15" spans="1:6">
      <c r="B15" s="2">
        <v>6</v>
      </c>
      <c r="D15" s="2" t="s">
        <v>43</v>
      </c>
      <c r="E15" s="2" t="s">
        <v>115</v>
      </c>
      <c r="F15" s="2">
        <v>0.1</v>
      </c>
    </row>
    <row r="16" spans="1:6">
      <c r="B16" s="2">
        <v>7</v>
      </c>
      <c r="E16" s="2" t="s">
        <v>113</v>
      </c>
      <c r="F16" s="2">
        <v>0.375</v>
      </c>
    </row>
    <row r="17" spans="2:6">
      <c r="B17" s="2">
        <v>8</v>
      </c>
      <c r="D17" s="1" t="s">
        <v>59</v>
      </c>
      <c r="E17" s="2" t="s">
        <v>114</v>
      </c>
      <c r="F17" s="2">
        <v>0.375</v>
      </c>
    </row>
    <row r="18" spans="2:6">
      <c r="B18" s="2">
        <v>9</v>
      </c>
      <c r="D18" s="2" t="s">
        <v>60</v>
      </c>
      <c r="E18" s="2" t="s">
        <v>116</v>
      </c>
      <c r="F18" s="2">
        <v>0.1</v>
      </c>
    </row>
    <row r="19" spans="2:6">
      <c r="B19" s="2">
        <v>10</v>
      </c>
      <c r="D19" s="2" t="s">
        <v>61</v>
      </c>
      <c r="E19" s="2" t="s">
        <v>117</v>
      </c>
      <c r="F19" s="2">
        <v>2.5000000000000001E-2</v>
      </c>
    </row>
    <row r="20" spans="2:6">
      <c r="B20" s="2">
        <v>11</v>
      </c>
      <c r="D20" s="2" t="s">
        <v>62</v>
      </c>
      <c r="E20" s="2" t="s">
        <v>118</v>
      </c>
      <c r="F20" s="2">
        <v>2.5000000000000001E-2</v>
      </c>
    </row>
    <row r="21" spans="2:6">
      <c r="B21" s="2">
        <v>12</v>
      </c>
      <c r="D21" s="2" t="s">
        <v>63</v>
      </c>
      <c r="E21" s="9" t="s">
        <v>112</v>
      </c>
      <c r="F21" s="2">
        <f>SUM(F15:F20)</f>
        <v>1</v>
      </c>
    </row>
    <row r="23" spans="2:6">
      <c r="D23" s="1" t="s">
        <v>64</v>
      </c>
      <c r="E23" s="1" t="s">
        <v>68</v>
      </c>
    </row>
    <row r="24" spans="2:6">
      <c r="D24" s="2" t="s">
        <v>62</v>
      </c>
      <c r="E24" s="2" t="s">
        <v>162</v>
      </c>
    </row>
    <row r="25" spans="2:6">
      <c r="D25" s="2" t="s">
        <v>63</v>
      </c>
      <c r="E25" s="2" t="s">
        <v>160</v>
      </c>
    </row>
    <row r="26" spans="2:6">
      <c r="E26" s="2" t="s">
        <v>161</v>
      </c>
    </row>
    <row r="27" spans="2:6">
      <c r="E27" s="2" t="s">
        <v>164</v>
      </c>
    </row>
    <row r="28" spans="2:6">
      <c r="E28" s="2" t="s">
        <v>163</v>
      </c>
    </row>
    <row r="29" spans="2:6">
      <c r="E29" s="1" t="s">
        <v>69</v>
      </c>
    </row>
    <row r="30" spans="2:6">
      <c r="E30" s="2" t="s">
        <v>162</v>
      </c>
    </row>
    <row r="31" spans="2:6">
      <c r="E31" s="2" t="s">
        <v>164</v>
      </c>
    </row>
    <row r="32" spans="2:6">
      <c r="E32" s="2" t="s">
        <v>163</v>
      </c>
    </row>
  </sheetData>
  <sortState ref="A2:A8">
    <sortCondition ref="A2:A8"/>
  </sortState>
  <mergeCells count="2">
    <mergeCell ref="E1:F1"/>
    <mergeCell ref="E13:F13"/>
  </mergeCells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>
      <selection sqref="A1:C4"/>
    </sheetView>
  </sheetViews>
  <sheetFormatPr baseColWidth="10" defaultColWidth="8.83203125" defaultRowHeight="15" x14ac:dyDescent="0"/>
  <cols>
    <col min="1" max="1" width="38.5" bestFit="1" customWidth="1"/>
    <col min="2" max="2" width="15.5" bestFit="1" customWidth="1"/>
    <col min="3" max="3" width="8.83203125" bestFit="1" customWidth="1"/>
    <col min="4" max="4" width="6.33203125" customWidth="1"/>
    <col min="5" max="5" width="15" customWidth="1"/>
    <col min="6" max="6" width="11.6640625" customWidth="1"/>
    <col min="7" max="7" width="11.5" customWidth="1"/>
    <col min="8" max="8" width="19.6640625" bestFit="1" customWidth="1"/>
    <col min="9" max="10" width="10.33203125" bestFit="1" customWidth="1"/>
    <col min="11" max="11" width="18" customWidth="1"/>
    <col min="12" max="12" width="7.5" customWidth="1"/>
  </cols>
  <sheetData/>
  <sortState ref="A1:C4">
    <sortCondition ref="C1:C4"/>
    <sortCondition ref="B1:B4"/>
    <sortCondition ref="A1:A4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193"/>
  <sheetViews>
    <sheetView workbookViewId="0">
      <selection activeCell="A3" sqref="A3:C3"/>
    </sheetView>
  </sheetViews>
  <sheetFormatPr baseColWidth="10" defaultColWidth="8.83203125" defaultRowHeight="15" x14ac:dyDescent="0"/>
  <cols>
    <col min="1" max="1" width="9.33203125" bestFit="1" customWidth="1"/>
    <col min="2" max="2" width="85.6640625" bestFit="1" customWidth="1"/>
    <col min="3" max="3" width="11.33203125" customWidth="1"/>
    <col min="4" max="4" width="11.6640625" customWidth="1"/>
  </cols>
  <sheetData>
    <row r="1" spans="1:4">
      <c r="A1" s="25" t="s">
        <v>134</v>
      </c>
      <c r="B1" s="25" t="s">
        <v>131</v>
      </c>
      <c r="C1" s="25" t="s">
        <v>132</v>
      </c>
      <c r="D1" s="25" t="s">
        <v>133</v>
      </c>
    </row>
    <row r="2" spans="1:4">
      <c r="A2">
        <v>0</v>
      </c>
      <c r="C2" s="26"/>
      <c r="D2" s="27"/>
    </row>
    <row r="3" spans="1:4">
      <c r="A3">
        <v>1</v>
      </c>
      <c r="B3" t="s">
        <v>186</v>
      </c>
      <c r="C3" s="26">
        <v>41548</v>
      </c>
      <c r="D3" s="27"/>
    </row>
    <row r="4" spans="1:4">
      <c r="C4" s="26"/>
      <c r="D4" s="27"/>
    </row>
    <row r="5" spans="1:4">
      <c r="C5" s="26"/>
      <c r="D5" s="27"/>
    </row>
    <row r="6" spans="1:4">
      <c r="C6" s="26"/>
      <c r="D6" s="27"/>
    </row>
    <row r="7" spans="1:4">
      <c r="C7" s="26"/>
      <c r="D7" s="27"/>
    </row>
    <row r="8" spans="1:4">
      <c r="C8" s="26"/>
      <c r="D8" s="27"/>
    </row>
    <row r="9" spans="1:4">
      <c r="C9" s="26"/>
      <c r="D9" s="27"/>
    </row>
    <row r="10" spans="1:4">
      <c r="C10" s="26"/>
      <c r="D10" s="27"/>
    </row>
    <row r="11" spans="1:4">
      <c r="C11" s="26"/>
      <c r="D11" s="27"/>
    </row>
    <row r="12" spans="1:4">
      <c r="C12" s="26"/>
      <c r="D12" s="27"/>
    </row>
    <row r="13" spans="1:4">
      <c r="C13" s="26"/>
      <c r="D13" s="27"/>
    </row>
    <row r="14" spans="1:4">
      <c r="C14" s="26"/>
      <c r="D14" s="27"/>
    </row>
    <row r="15" spans="1:4">
      <c r="C15" s="26"/>
      <c r="D15" s="27"/>
    </row>
    <row r="16" spans="1:4">
      <c r="C16" s="26"/>
      <c r="D16" s="27"/>
    </row>
    <row r="17" spans="3:4">
      <c r="C17" s="26"/>
      <c r="D17" s="27"/>
    </row>
    <row r="18" spans="3:4">
      <c r="C18" s="26"/>
      <c r="D18" s="27"/>
    </row>
    <row r="19" spans="3:4">
      <c r="C19" s="26"/>
      <c r="D19" s="27"/>
    </row>
    <row r="20" spans="3:4">
      <c r="C20" s="26"/>
      <c r="D20" s="27"/>
    </row>
    <row r="21" spans="3:4">
      <c r="C21" s="26"/>
      <c r="D21" s="27"/>
    </row>
    <row r="22" spans="3:4">
      <c r="C22" s="26"/>
      <c r="D22" s="27"/>
    </row>
    <row r="23" spans="3:4">
      <c r="C23" s="26"/>
      <c r="D23" s="27"/>
    </row>
    <row r="24" spans="3:4">
      <c r="C24" s="26"/>
      <c r="D24" s="27"/>
    </row>
    <row r="25" spans="3:4">
      <c r="C25" s="26"/>
      <c r="D25" s="27"/>
    </row>
    <row r="26" spans="3:4">
      <c r="C26" s="26"/>
      <c r="D26" s="27"/>
    </row>
    <row r="27" spans="3:4">
      <c r="C27" s="26"/>
      <c r="D27" s="27"/>
    </row>
    <row r="28" spans="3:4">
      <c r="C28" s="26"/>
      <c r="D28" s="27"/>
    </row>
    <row r="29" spans="3:4">
      <c r="C29" s="26"/>
      <c r="D29" s="27"/>
    </row>
    <row r="30" spans="3:4">
      <c r="C30" s="26"/>
      <c r="D30" s="27"/>
    </row>
    <row r="31" spans="3:4">
      <c r="C31" s="26"/>
      <c r="D31" s="27"/>
    </row>
    <row r="32" spans="3:4">
      <c r="C32" s="26"/>
      <c r="D32" s="27"/>
    </row>
    <row r="33" spans="3:4">
      <c r="C33" s="26"/>
      <c r="D33" s="27"/>
    </row>
    <row r="34" spans="3:4">
      <c r="C34" s="26"/>
      <c r="D34" s="27"/>
    </row>
    <row r="35" spans="3:4">
      <c r="C35" s="26"/>
      <c r="D35" s="27"/>
    </row>
    <row r="36" spans="3:4">
      <c r="C36" s="26"/>
      <c r="D36" s="27"/>
    </row>
    <row r="37" spans="3:4">
      <c r="C37" s="26"/>
      <c r="D37" s="27"/>
    </row>
    <row r="38" spans="3:4">
      <c r="C38" s="26"/>
      <c r="D38" s="27"/>
    </row>
    <row r="39" spans="3:4">
      <c r="C39" s="26"/>
      <c r="D39" s="27"/>
    </row>
    <row r="40" spans="3:4">
      <c r="C40" s="26"/>
      <c r="D40" s="27"/>
    </row>
    <row r="41" spans="3:4">
      <c r="C41" s="26"/>
      <c r="D41" s="27"/>
    </row>
    <row r="42" spans="3:4">
      <c r="C42" s="26"/>
      <c r="D42" s="27"/>
    </row>
    <row r="43" spans="3:4">
      <c r="C43" s="26"/>
      <c r="D43" s="27"/>
    </row>
    <row r="44" spans="3:4">
      <c r="C44" s="26"/>
      <c r="D44" s="27"/>
    </row>
    <row r="45" spans="3:4">
      <c r="C45" s="26"/>
      <c r="D45" s="27"/>
    </row>
    <row r="46" spans="3:4">
      <c r="C46" s="26"/>
      <c r="D46" s="27"/>
    </row>
    <row r="47" spans="3:4">
      <c r="C47" s="26"/>
      <c r="D47" s="27"/>
    </row>
    <row r="48" spans="3:4">
      <c r="C48" s="26"/>
      <c r="D48" s="27"/>
    </row>
    <row r="49" spans="3:4">
      <c r="C49" s="26"/>
      <c r="D49" s="27"/>
    </row>
    <row r="50" spans="3:4">
      <c r="C50" s="26"/>
      <c r="D50" s="27"/>
    </row>
    <row r="51" spans="3:4">
      <c r="C51" s="26"/>
      <c r="D51" s="27"/>
    </row>
    <row r="52" spans="3:4">
      <c r="C52" s="26"/>
      <c r="D52" s="27"/>
    </row>
    <row r="53" spans="3:4">
      <c r="C53" s="26"/>
      <c r="D53" s="27"/>
    </row>
    <row r="54" spans="3:4">
      <c r="C54" s="26"/>
      <c r="D54" s="27"/>
    </row>
    <row r="55" spans="3:4">
      <c r="C55" s="26"/>
      <c r="D55" s="27"/>
    </row>
    <row r="56" spans="3:4">
      <c r="C56" s="26"/>
      <c r="D56" s="27"/>
    </row>
    <row r="57" spans="3:4">
      <c r="C57" s="26"/>
      <c r="D57" s="27"/>
    </row>
    <row r="58" spans="3:4">
      <c r="C58" s="26"/>
      <c r="D58" s="27"/>
    </row>
    <row r="59" spans="3:4">
      <c r="C59" s="26"/>
      <c r="D59" s="27"/>
    </row>
    <row r="60" spans="3:4">
      <c r="C60" s="26"/>
      <c r="D60" s="27"/>
    </row>
    <row r="61" spans="3:4">
      <c r="C61" s="26"/>
      <c r="D61" s="27"/>
    </row>
    <row r="62" spans="3:4">
      <c r="C62" s="26"/>
      <c r="D62" s="27"/>
    </row>
    <row r="63" spans="3:4">
      <c r="C63" s="26"/>
      <c r="D63" s="27"/>
    </row>
    <row r="64" spans="3:4">
      <c r="C64" s="26"/>
      <c r="D64" s="27"/>
    </row>
    <row r="65" spans="3:4">
      <c r="C65" s="26"/>
      <c r="D65" s="27"/>
    </row>
    <row r="66" spans="3:4">
      <c r="C66" s="26"/>
      <c r="D66" s="27"/>
    </row>
    <row r="67" spans="3:4">
      <c r="C67" s="26"/>
      <c r="D67" s="27"/>
    </row>
    <row r="68" spans="3:4">
      <c r="C68" s="26"/>
      <c r="D68" s="27"/>
    </row>
    <row r="69" spans="3:4">
      <c r="C69" s="26"/>
      <c r="D69" s="27"/>
    </row>
    <row r="70" spans="3:4">
      <c r="C70" s="26"/>
      <c r="D70" s="27"/>
    </row>
    <row r="71" spans="3:4">
      <c r="C71" s="26"/>
      <c r="D71" s="27"/>
    </row>
    <row r="72" spans="3:4">
      <c r="C72" s="26"/>
      <c r="D72" s="27"/>
    </row>
    <row r="73" spans="3:4">
      <c r="C73" s="26"/>
      <c r="D73" s="27"/>
    </row>
    <row r="74" spans="3:4">
      <c r="C74" s="26"/>
      <c r="D74" s="27"/>
    </row>
    <row r="75" spans="3:4">
      <c r="C75" s="26"/>
      <c r="D75" s="27"/>
    </row>
    <row r="76" spans="3:4">
      <c r="C76" s="26"/>
      <c r="D76" s="27"/>
    </row>
    <row r="77" spans="3:4">
      <c r="C77" s="26"/>
      <c r="D77" s="27"/>
    </row>
    <row r="78" spans="3:4">
      <c r="C78" s="26"/>
      <c r="D78" s="27"/>
    </row>
    <row r="79" spans="3:4">
      <c r="C79" s="26"/>
      <c r="D79" s="27"/>
    </row>
    <row r="80" spans="3:4">
      <c r="C80" s="26"/>
      <c r="D80" s="27"/>
    </row>
    <row r="81" spans="3:4">
      <c r="C81" s="26"/>
      <c r="D81" s="27"/>
    </row>
    <row r="82" spans="3:4">
      <c r="C82" s="26"/>
      <c r="D82" s="27"/>
    </row>
    <row r="83" spans="3:4">
      <c r="C83" s="26"/>
      <c r="D83" s="27"/>
    </row>
    <row r="84" spans="3:4">
      <c r="C84" s="26"/>
      <c r="D84" s="27"/>
    </row>
    <row r="85" spans="3:4">
      <c r="C85" s="26"/>
      <c r="D85" s="27"/>
    </row>
    <row r="86" spans="3:4">
      <c r="C86" s="26"/>
      <c r="D86" s="27"/>
    </row>
    <row r="87" spans="3:4">
      <c r="C87" s="26"/>
      <c r="D87" s="27"/>
    </row>
    <row r="88" spans="3:4">
      <c r="C88" s="26"/>
      <c r="D88" s="27"/>
    </row>
    <row r="89" spans="3:4">
      <c r="C89" s="26"/>
      <c r="D89" s="27"/>
    </row>
    <row r="90" spans="3:4">
      <c r="C90" s="26"/>
      <c r="D90" s="27"/>
    </row>
    <row r="91" spans="3:4">
      <c r="C91" s="26"/>
      <c r="D91" s="27"/>
    </row>
    <row r="92" spans="3:4">
      <c r="C92" s="26"/>
      <c r="D92" s="27"/>
    </row>
    <row r="93" spans="3:4">
      <c r="C93" s="26"/>
      <c r="D93" s="27"/>
    </row>
    <row r="94" spans="3:4">
      <c r="C94" s="26"/>
      <c r="D94" s="27"/>
    </row>
    <row r="95" spans="3:4">
      <c r="C95" s="26"/>
      <c r="D95" s="27"/>
    </row>
    <row r="96" spans="3:4">
      <c r="C96" s="26"/>
      <c r="D96" s="27"/>
    </row>
    <row r="97" spans="3:4">
      <c r="C97" s="26"/>
      <c r="D97" s="27"/>
    </row>
    <row r="98" spans="3:4">
      <c r="C98" s="26"/>
      <c r="D98" s="27"/>
    </row>
    <row r="99" spans="3:4">
      <c r="C99" s="26"/>
      <c r="D99" s="27"/>
    </row>
    <row r="100" spans="3:4">
      <c r="C100" s="26"/>
      <c r="D100" s="27"/>
    </row>
    <row r="101" spans="3:4">
      <c r="C101" s="26"/>
      <c r="D101" s="27"/>
    </row>
    <row r="102" spans="3:4">
      <c r="C102" s="26"/>
      <c r="D102" s="27"/>
    </row>
    <row r="103" spans="3:4">
      <c r="C103" s="26"/>
      <c r="D103" s="27"/>
    </row>
    <row r="104" spans="3:4">
      <c r="C104" s="26"/>
      <c r="D104" s="27"/>
    </row>
    <row r="105" spans="3:4">
      <c r="C105" s="26"/>
      <c r="D105" s="27"/>
    </row>
    <row r="106" spans="3:4">
      <c r="C106" s="26"/>
      <c r="D106" s="27"/>
    </row>
    <row r="107" spans="3:4">
      <c r="C107" s="26"/>
      <c r="D107" s="27"/>
    </row>
    <row r="108" spans="3:4">
      <c r="C108" s="26"/>
      <c r="D108" s="27"/>
    </row>
    <row r="109" spans="3:4">
      <c r="C109" s="26"/>
      <c r="D109" s="27"/>
    </row>
    <row r="110" spans="3:4">
      <c r="C110" s="26"/>
      <c r="D110" s="27"/>
    </row>
    <row r="111" spans="3:4">
      <c r="C111" s="26"/>
      <c r="D111" s="27"/>
    </row>
    <row r="112" spans="3:4">
      <c r="C112" s="26"/>
      <c r="D112" s="27"/>
    </row>
    <row r="113" spans="3:4">
      <c r="C113" s="26"/>
      <c r="D113" s="27"/>
    </row>
    <row r="114" spans="3:4">
      <c r="C114" s="26"/>
      <c r="D114" s="27"/>
    </row>
    <row r="115" spans="3:4">
      <c r="C115" s="26"/>
      <c r="D115" s="27"/>
    </row>
    <row r="116" spans="3:4">
      <c r="C116" s="26"/>
      <c r="D116" s="27"/>
    </row>
    <row r="117" spans="3:4">
      <c r="C117" s="26"/>
      <c r="D117" s="27"/>
    </row>
    <row r="118" spans="3:4">
      <c r="C118" s="26"/>
      <c r="D118" s="27"/>
    </row>
    <row r="119" spans="3:4">
      <c r="C119" s="26"/>
      <c r="D119" s="27"/>
    </row>
    <row r="120" spans="3:4">
      <c r="C120" s="26"/>
      <c r="D120" s="27"/>
    </row>
    <row r="121" spans="3:4">
      <c r="C121" s="26"/>
      <c r="D121" s="27"/>
    </row>
    <row r="122" spans="3:4">
      <c r="C122" s="26"/>
      <c r="D122" s="27"/>
    </row>
    <row r="123" spans="3:4">
      <c r="C123" s="26"/>
      <c r="D123" s="27"/>
    </row>
    <row r="124" spans="3:4">
      <c r="C124" s="26"/>
      <c r="D124" s="27"/>
    </row>
    <row r="125" spans="3:4">
      <c r="C125" s="26"/>
      <c r="D125" s="27"/>
    </row>
    <row r="126" spans="3:4">
      <c r="C126" s="26"/>
      <c r="D126" s="27"/>
    </row>
    <row r="127" spans="3:4">
      <c r="C127" s="26"/>
      <c r="D127" s="27"/>
    </row>
    <row r="128" spans="3:4">
      <c r="C128" s="26"/>
      <c r="D128" s="27"/>
    </row>
    <row r="129" spans="3:4">
      <c r="C129" s="26"/>
      <c r="D129" s="27"/>
    </row>
    <row r="130" spans="3:4">
      <c r="C130" s="26"/>
      <c r="D130" s="27"/>
    </row>
    <row r="131" spans="3:4">
      <c r="C131" s="26"/>
      <c r="D131" s="27"/>
    </row>
    <row r="132" spans="3:4">
      <c r="C132" s="26"/>
      <c r="D132" s="27"/>
    </row>
    <row r="133" spans="3:4">
      <c r="C133" s="26"/>
      <c r="D133" s="27"/>
    </row>
    <row r="134" spans="3:4">
      <c r="C134" s="26"/>
      <c r="D134" s="27"/>
    </row>
    <row r="135" spans="3:4">
      <c r="C135" s="26"/>
      <c r="D135" s="27"/>
    </row>
    <row r="136" spans="3:4">
      <c r="C136" s="26"/>
      <c r="D136" s="27"/>
    </row>
    <row r="137" spans="3:4">
      <c r="C137" s="26"/>
      <c r="D137" s="27"/>
    </row>
    <row r="138" spans="3:4">
      <c r="C138" s="26"/>
      <c r="D138" s="27"/>
    </row>
    <row r="139" spans="3:4">
      <c r="C139" s="26"/>
      <c r="D139" s="27"/>
    </row>
    <row r="140" spans="3:4">
      <c r="C140" s="26"/>
      <c r="D140" s="27"/>
    </row>
    <row r="141" spans="3:4">
      <c r="C141" s="26"/>
      <c r="D141" s="27"/>
    </row>
    <row r="142" spans="3:4">
      <c r="C142" s="26"/>
      <c r="D142" s="27"/>
    </row>
    <row r="143" spans="3:4">
      <c r="C143" s="26"/>
      <c r="D143" s="27"/>
    </row>
    <row r="144" spans="3:4">
      <c r="C144" s="26"/>
      <c r="D144" s="27"/>
    </row>
    <row r="145" spans="3:4">
      <c r="C145" s="26"/>
      <c r="D145" s="27"/>
    </row>
    <row r="146" spans="3:4">
      <c r="C146" s="26"/>
      <c r="D146" s="27"/>
    </row>
    <row r="147" spans="3:4">
      <c r="C147" s="26"/>
      <c r="D147" s="27"/>
    </row>
    <row r="148" spans="3:4">
      <c r="C148" s="26"/>
      <c r="D148" s="27"/>
    </row>
    <row r="149" spans="3:4">
      <c r="C149" s="26"/>
      <c r="D149" s="27"/>
    </row>
    <row r="150" spans="3:4">
      <c r="C150" s="26"/>
      <c r="D150" s="27"/>
    </row>
    <row r="151" spans="3:4">
      <c r="C151" s="26"/>
      <c r="D151" s="27"/>
    </row>
    <row r="152" spans="3:4">
      <c r="C152" s="26"/>
      <c r="D152" s="27"/>
    </row>
    <row r="153" spans="3:4">
      <c r="C153" s="26"/>
      <c r="D153" s="27"/>
    </row>
    <row r="154" spans="3:4">
      <c r="C154" s="26"/>
      <c r="D154" s="27"/>
    </row>
    <row r="155" spans="3:4">
      <c r="C155" s="26"/>
      <c r="D155" s="27"/>
    </row>
    <row r="156" spans="3:4">
      <c r="C156" s="26"/>
      <c r="D156" s="27"/>
    </row>
    <row r="157" spans="3:4">
      <c r="C157" s="26"/>
      <c r="D157" s="27"/>
    </row>
    <row r="158" spans="3:4">
      <c r="C158" s="26"/>
      <c r="D158" s="27"/>
    </row>
    <row r="159" spans="3:4">
      <c r="C159" s="26"/>
      <c r="D159" s="27"/>
    </row>
    <row r="160" spans="3:4">
      <c r="C160" s="26"/>
      <c r="D160" s="27"/>
    </row>
    <row r="161" spans="3:4">
      <c r="C161" s="26"/>
      <c r="D161" s="27"/>
    </row>
    <row r="162" spans="3:4">
      <c r="C162" s="26"/>
      <c r="D162" s="27"/>
    </row>
    <row r="163" spans="3:4">
      <c r="C163" s="26"/>
      <c r="D163" s="27"/>
    </row>
    <row r="164" spans="3:4">
      <c r="C164" s="26"/>
      <c r="D164" s="27"/>
    </row>
    <row r="165" spans="3:4">
      <c r="C165" s="26"/>
      <c r="D165" s="27"/>
    </row>
    <row r="166" spans="3:4">
      <c r="C166" s="26"/>
      <c r="D166" s="27"/>
    </row>
    <row r="167" spans="3:4">
      <c r="C167" s="26"/>
      <c r="D167" s="27"/>
    </row>
    <row r="168" spans="3:4">
      <c r="C168" s="26"/>
      <c r="D168" s="27"/>
    </row>
    <row r="169" spans="3:4">
      <c r="C169" s="26"/>
      <c r="D169" s="27"/>
    </row>
    <row r="170" spans="3:4">
      <c r="C170" s="26"/>
      <c r="D170" s="27"/>
    </row>
    <row r="171" spans="3:4">
      <c r="C171" s="26"/>
      <c r="D171" s="27"/>
    </row>
    <row r="172" spans="3:4">
      <c r="C172" s="26"/>
      <c r="D172" s="27"/>
    </row>
    <row r="173" spans="3:4">
      <c r="C173" s="26"/>
      <c r="D173" s="27"/>
    </row>
    <row r="174" spans="3:4">
      <c r="C174" s="26"/>
      <c r="D174" s="27"/>
    </row>
    <row r="175" spans="3:4">
      <c r="C175" s="26"/>
      <c r="D175" s="27"/>
    </row>
    <row r="176" spans="3:4">
      <c r="C176" s="26"/>
      <c r="D176" s="27"/>
    </row>
    <row r="177" spans="3:4">
      <c r="C177" s="26"/>
      <c r="D177" s="27"/>
    </row>
    <row r="178" spans="3:4">
      <c r="C178" s="26"/>
      <c r="D178" s="27"/>
    </row>
    <row r="179" spans="3:4">
      <c r="C179" s="26"/>
      <c r="D179" s="27"/>
    </row>
    <row r="180" spans="3:4">
      <c r="C180" s="26"/>
      <c r="D180" s="27"/>
    </row>
    <row r="181" spans="3:4">
      <c r="C181" s="26"/>
      <c r="D181" s="27"/>
    </row>
    <row r="182" spans="3:4">
      <c r="C182" s="26"/>
      <c r="D182" s="27"/>
    </row>
    <row r="183" spans="3:4">
      <c r="C183" s="26"/>
      <c r="D183" s="27"/>
    </row>
    <row r="184" spans="3:4">
      <c r="C184" s="26"/>
      <c r="D184" s="27"/>
    </row>
    <row r="185" spans="3:4">
      <c r="C185" s="26"/>
      <c r="D185" s="27"/>
    </row>
    <row r="186" spans="3:4">
      <c r="C186" s="26"/>
      <c r="D186" s="27"/>
    </row>
    <row r="187" spans="3:4">
      <c r="C187" s="26"/>
      <c r="D187" s="27"/>
    </row>
    <row r="188" spans="3:4">
      <c r="C188" s="26"/>
      <c r="D188" s="27"/>
    </row>
    <row r="189" spans="3:4">
      <c r="C189" s="26"/>
      <c r="D189" s="27"/>
    </row>
    <row r="190" spans="3:4">
      <c r="C190" s="26"/>
      <c r="D190" s="27"/>
    </row>
    <row r="191" spans="3:4">
      <c r="C191" s="26"/>
      <c r="D191" s="27"/>
    </row>
    <row r="192" spans="3:4">
      <c r="C192" s="26"/>
      <c r="D192" s="27"/>
    </row>
    <row r="193" spans="3:4">
      <c r="C193" s="26"/>
      <c r="D193" s="2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Staff</vt:lpstr>
      <vt:lpstr>Initial Conferences</vt:lpstr>
      <vt:lpstr>Artifacts</vt:lpstr>
      <vt:lpstr>Formals</vt:lpstr>
      <vt:lpstr>Informals</vt:lpstr>
      <vt:lpstr>School Options</vt:lpstr>
      <vt:lpstr>Settings</vt:lpstr>
      <vt:lpstr>Temp</vt:lpstr>
      <vt:lpstr>Change Log</vt:lpstr>
    </vt:vector>
  </TitlesOfParts>
  <Manager/>
  <Company>NYC Department of Education, CFN 603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Teacher Evaluation Tool</dc:title>
  <dc:subject/>
  <dc:creator>Michael Miller</dc:creator>
  <cp:keywords/>
  <dc:description/>
  <cp:lastModifiedBy>mike</cp:lastModifiedBy>
  <dcterms:created xsi:type="dcterms:W3CDTF">2013-06-06T00:42:58Z</dcterms:created>
  <dcterms:modified xsi:type="dcterms:W3CDTF">2016-03-05T17:47:59Z</dcterms:modified>
  <cp:category/>
</cp:coreProperties>
</file>